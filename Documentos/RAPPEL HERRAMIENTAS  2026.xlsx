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ib\Desktop\"/>
    </mc:Choice>
  </mc:AlternateContent>
  <xr:revisionPtr revIDLastSave="0" documentId="13_ncr:1_{4E7AC9B2-69E3-4B31-AC45-65B33D51AAA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APPEL HERRAMIENTA 2025" sheetId="1" r:id="rId1"/>
  </sheets>
  <definedNames>
    <definedName name="_xlnm._FilterDatabase" localSheetId="0" hidden="1">'RAPPEL HERRAMIENTA 2025'!$C$62:$Z$138</definedName>
    <definedName name="_xlnm.Print_Area" localSheetId="0">'RAPPEL HERRAMIENTA 2025'!$A$1:$AB$138</definedName>
    <definedName name="_xlnm.Print_Titles" localSheetId="0">'RAPPEL HERRAMIENTA 2025'!$1:$2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7" i="1" l="1"/>
  <c r="AB13" i="1"/>
  <c r="AB79" i="1"/>
  <c r="AB5" i="1"/>
  <c r="AB9" i="1"/>
  <c r="AB11" i="1"/>
  <c r="AB15" i="1"/>
  <c r="AB17" i="1"/>
  <c r="AB19" i="1"/>
  <c r="AB21" i="1"/>
  <c r="AB23" i="1"/>
  <c r="AB25" i="1"/>
  <c r="AB27" i="1"/>
  <c r="AB29" i="1"/>
  <c r="AB31" i="1"/>
  <c r="AB33" i="1"/>
  <c r="AB35" i="1"/>
  <c r="AB37" i="1"/>
  <c r="AB39" i="1"/>
  <c r="AB41" i="1"/>
  <c r="AB43" i="1"/>
  <c r="AB45" i="1"/>
  <c r="AB47" i="1"/>
  <c r="AB49" i="1"/>
  <c r="AB51" i="1"/>
  <c r="AB53" i="1"/>
  <c r="AB55" i="1"/>
  <c r="AB57" i="1"/>
  <c r="AB59" i="1"/>
  <c r="AB61" i="1"/>
  <c r="AB63" i="1"/>
  <c r="AB65" i="1"/>
  <c r="AB67" i="1"/>
  <c r="AB69" i="1"/>
  <c r="AB71" i="1"/>
  <c r="AB73" i="1"/>
  <c r="AB75" i="1"/>
  <c r="AB77" i="1"/>
  <c r="AB81" i="1"/>
  <c r="AB83" i="1"/>
  <c r="AB85" i="1"/>
  <c r="AB87" i="1"/>
  <c r="AB89" i="1"/>
  <c r="AB91" i="1"/>
  <c r="AB93" i="1"/>
  <c r="AB95" i="1"/>
  <c r="AB97" i="1"/>
  <c r="AB99" i="1"/>
  <c r="AB101" i="1"/>
  <c r="AB103" i="1"/>
  <c r="AB105" i="1"/>
  <c r="AB107" i="1"/>
  <c r="AB109" i="1"/>
  <c r="AB111" i="1"/>
  <c r="AB113" i="1"/>
  <c r="AB115" i="1"/>
  <c r="AB117" i="1"/>
  <c r="AB119" i="1"/>
  <c r="AB123" i="1"/>
  <c r="AB125" i="1"/>
  <c r="AB127" i="1"/>
  <c r="AB129" i="1"/>
  <c r="AB131" i="1"/>
  <c r="AB133" i="1"/>
  <c r="AB135" i="1"/>
  <c r="AB137" i="1"/>
  <c r="AB3" i="1"/>
  <c r="AA3" i="1"/>
  <c r="AA5" i="1" l="1"/>
  <c r="AA7" i="1"/>
  <c r="AA9" i="1"/>
  <c r="AA11" i="1"/>
  <c r="AA13" i="1"/>
  <c r="AA15" i="1"/>
  <c r="AA17" i="1"/>
  <c r="AA19" i="1"/>
  <c r="AA21" i="1"/>
  <c r="AA23" i="1"/>
  <c r="AA25" i="1"/>
  <c r="AA27" i="1"/>
  <c r="AA29" i="1"/>
  <c r="AA31" i="1"/>
  <c r="AA33" i="1"/>
  <c r="AA35" i="1"/>
  <c r="AA37" i="1"/>
  <c r="AA39" i="1"/>
  <c r="AA41" i="1"/>
  <c r="AA43" i="1"/>
  <c r="AA45" i="1"/>
  <c r="AA47" i="1"/>
  <c r="AA49" i="1"/>
  <c r="AA51" i="1"/>
  <c r="AA53" i="1"/>
  <c r="AA55" i="1"/>
  <c r="AA57" i="1"/>
  <c r="AA59" i="1"/>
  <c r="AA61" i="1"/>
  <c r="AA63" i="1"/>
  <c r="AA65" i="1"/>
  <c r="AA67" i="1"/>
  <c r="AA69" i="1"/>
  <c r="AA71" i="1"/>
  <c r="AA73" i="1"/>
  <c r="AA75" i="1"/>
  <c r="AA77" i="1"/>
  <c r="AA79" i="1"/>
  <c r="AA81" i="1"/>
  <c r="AA83" i="1"/>
  <c r="AA85" i="1"/>
  <c r="AA87" i="1"/>
  <c r="AA89" i="1"/>
  <c r="AA91" i="1"/>
  <c r="AA93" i="1"/>
  <c r="AA95" i="1"/>
  <c r="AA97" i="1"/>
  <c r="AA99" i="1"/>
  <c r="AA101" i="1"/>
  <c r="AA103" i="1"/>
  <c r="AA105" i="1"/>
  <c r="AA107" i="1"/>
  <c r="AA109" i="1"/>
  <c r="AA111" i="1"/>
  <c r="AA113" i="1"/>
  <c r="AA115" i="1"/>
  <c r="AA117" i="1"/>
  <c r="AA119" i="1"/>
  <c r="AA121" i="1"/>
  <c r="AA123" i="1"/>
  <c r="AA125" i="1"/>
  <c r="AA127" i="1"/>
  <c r="AA129" i="1"/>
  <c r="AA131" i="1"/>
  <c r="AA133" i="1"/>
  <c r="AA135" i="1"/>
  <c r="AA137" i="1"/>
  <c r="AB149" i="1" l="1"/>
  <c r="AB148" i="1"/>
  <c r="AB147" i="1"/>
  <c r="AB146" i="1"/>
  <c r="AB145" i="1"/>
  <c r="AB144" i="1"/>
  <c r="AB143" i="1"/>
  <c r="AB142" i="1"/>
  <c r="AB141" i="1"/>
  <c r="AB140" i="1"/>
  <c r="AB139" i="1"/>
</calcChain>
</file>

<file path=xl/sharedStrings.xml><?xml version="1.0" encoding="utf-8"?>
<sst xmlns="http://schemas.openxmlformats.org/spreadsheetml/2006/main" count="339" uniqueCount="198">
  <si>
    <t>ADNOTOR</t>
  </si>
  <si>
    <t>ALBARAN</t>
  </si>
  <si>
    <t>AGULLO</t>
  </si>
  <si>
    <t>AUTOCOLOR</t>
  </si>
  <si>
    <t>AUTOLAVADOS</t>
  </si>
  <si>
    <t>BARTOLME MARI</t>
  </si>
  <si>
    <t>BUMALI</t>
  </si>
  <si>
    <t>CAS MOTOR</t>
  </si>
  <si>
    <t>COTORRO</t>
  </si>
  <si>
    <t>CRUZ</t>
  </si>
  <si>
    <t>FUSIAUTO</t>
  </si>
  <si>
    <t>GARCIA SERVICE</t>
  </si>
  <si>
    <t>GUAYTOR</t>
  </si>
  <si>
    <t>GUILLERMO</t>
  </si>
  <si>
    <t>LE CERCLE</t>
  </si>
  <si>
    <t>IVENS</t>
  </si>
  <si>
    <t>KASSMI</t>
  </si>
  <si>
    <t>LAVACAR</t>
  </si>
  <si>
    <t>LECHAB</t>
  </si>
  <si>
    <t>MANOLO</t>
  </si>
  <si>
    <t>MARI BALAFIA</t>
  </si>
  <si>
    <t>MARINES</t>
  </si>
  <si>
    <t>MOVIL SANTA EULALIA</t>
  </si>
  <si>
    <t>MOTOS SAN JOSE</t>
  </si>
  <si>
    <t>MULTICAR SERVICE</t>
  </si>
  <si>
    <t>PETAXEL</t>
  </si>
  <si>
    <t>POLL</t>
  </si>
  <si>
    <t>PORTINATX</t>
  </si>
  <si>
    <t>REVYMAN</t>
  </si>
  <si>
    <t>RIOAUTO</t>
  </si>
  <si>
    <t>ROIG</t>
  </si>
  <si>
    <t>RUBIU</t>
  </si>
  <si>
    <t>RUTASA</t>
  </si>
  <si>
    <t>TECNOMOTOR</t>
  </si>
  <si>
    <t>TECNOMOVIL</t>
  </si>
  <si>
    <t>YAÑEZ</t>
  </si>
  <si>
    <t>CAN RITA</t>
  </si>
  <si>
    <t>AUTOMOCIÓN ISLA</t>
  </si>
  <si>
    <t>CURUNE</t>
  </si>
  <si>
    <t>EIVISSA LAN</t>
  </si>
  <si>
    <t>ESCUTIA</t>
  </si>
  <si>
    <t>FORMENTERA MOTOR</t>
  </si>
  <si>
    <t>FRANCISCO TORRES</t>
  </si>
  <si>
    <t>GARAGE 51</t>
  </si>
  <si>
    <t>GARAGE MICHEL</t>
  </si>
  <si>
    <t>GIGAMOTOR</t>
  </si>
  <si>
    <t>IBINAUTCAR</t>
  </si>
  <si>
    <t>MARCOS MONTES</t>
  </si>
  <si>
    <t>MIGUEL ANGELO SILVA MARQUEZ</t>
  </si>
  <si>
    <t>MOTOR SAN ANTONIO</t>
  </si>
  <si>
    <t>QUICK</t>
  </si>
  <si>
    <t>TALLER EUROPA FORMENTERA</t>
  </si>
  <si>
    <t>YOUNES</t>
  </si>
  <si>
    <t>TALLER</t>
  </si>
  <si>
    <t>IMPORTE</t>
  </si>
  <si>
    <t>CONSUMOS RAPPEL HERRAMIENTA</t>
  </si>
  <si>
    <t>RAPEL PENDIENTE</t>
  </si>
  <si>
    <t>RAPPEL TOTAL</t>
  </si>
  <si>
    <t xml:space="preserve">AUTOMAGIC </t>
  </si>
  <si>
    <t>CLASS CAR SERVICE</t>
  </si>
  <si>
    <t>SAN CARLOS( JARRY OBREGON)</t>
  </si>
  <si>
    <t xml:space="preserve">AUTOMOCION SAN FERNANDO </t>
  </si>
  <si>
    <t>TALLER DOS TORRES (OSCAR FRANCH)</t>
  </si>
  <si>
    <t>TALLER AUTOS FORMENTERA</t>
  </si>
  <si>
    <t>MOTOR 34</t>
  </si>
  <si>
    <t>MARCELO LUIS SERRA</t>
  </si>
  <si>
    <t>TALLERES IBIZA CAR</t>
  </si>
  <si>
    <t>AUTOS MARI</t>
  </si>
  <si>
    <t>REPARAUTO</t>
  </si>
  <si>
    <t>RAPPEL HERRAMIENTA 2026</t>
  </si>
  <si>
    <t>TALLER ARANCHEZ</t>
  </si>
  <si>
    <t>17098</t>
  </si>
  <si>
    <t>CALA LLENYA VIP SERVICE</t>
  </si>
  <si>
    <t>PAGADO TODO</t>
  </si>
  <si>
    <t>21440</t>
  </si>
  <si>
    <t>23469</t>
  </si>
  <si>
    <t>23483</t>
  </si>
  <si>
    <t>24011</t>
  </si>
  <si>
    <t>24007</t>
  </si>
  <si>
    <t>24216</t>
  </si>
  <si>
    <t>2025.258444</t>
  </si>
  <si>
    <t>25431</t>
  </si>
  <si>
    <t>25820</t>
  </si>
  <si>
    <t>marga</t>
  </si>
  <si>
    <t>26559</t>
  </si>
  <si>
    <t>26902</t>
  </si>
  <si>
    <t>27282</t>
  </si>
  <si>
    <t>27234</t>
  </si>
  <si>
    <t>24042</t>
  </si>
  <si>
    <t>YAKO</t>
  </si>
  <si>
    <t>INSTITUTO ISIDORO MACABICH</t>
  </si>
  <si>
    <t>28155</t>
  </si>
  <si>
    <t>29495</t>
  </si>
  <si>
    <t>2025,143553</t>
  </si>
  <si>
    <t>17144</t>
  </si>
  <si>
    <t>31875</t>
  </si>
  <si>
    <t>31990</t>
  </si>
  <si>
    <t>pedido 4586</t>
  </si>
  <si>
    <t>34318</t>
  </si>
  <si>
    <t>34646</t>
  </si>
  <si>
    <t>34814</t>
  </si>
  <si>
    <t>34799</t>
  </si>
  <si>
    <t>37538</t>
  </si>
  <si>
    <t>38146</t>
  </si>
  <si>
    <t>AÑADIDO 2000e Bosch</t>
  </si>
  <si>
    <t>37310</t>
  </si>
  <si>
    <t>38121</t>
  </si>
  <si>
    <t>38570</t>
  </si>
  <si>
    <t>40182</t>
  </si>
  <si>
    <t>MARGA</t>
  </si>
  <si>
    <t>41491</t>
  </si>
  <si>
    <t>41861</t>
  </si>
  <si>
    <t>41589</t>
  </si>
  <si>
    <t>42199</t>
  </si>
  <si>
    <t>42432</t>
  </si>
  <si>
    <t>42559</t>
  </si>
  <si>
    <t>43080</t>
  </si>
  <si>
    <t>44457</t>
  </si>
  <si>
    <t>45681</t>
  </si>
  <si>
    <t>49204</t>
  </si>
  <si>
    <t>48832</t>
  </si>
  <si>
    <t>NO DESCONTAR NADA DE RAPPEL DICHO POR GABRIEL (ANTES HABLAR CON GABRIEL)</t>
  </si>
  <si>
    <t>50797</t>
  </si>
  <si>
    <t>50949</t>
  </si>
  <si>
    <t>50807</t>
  </si>
  <si>
    <t>52008</t>
  </si>
  <si>
    <t>52297</t>
  </si>
  <si>
    <t>53437</t>
  </si>
  <si>
    <t>53466</t>
  </si>
  <si>
    <t>53922</t>
  </si>
  <si>
    <t>53092</t>
  </si>
  <si>
    <t>56692</t>
  </si>
  <si>
    <t>56674</t>
  </si>
  <si>
    <t>GABRIEL</t>
  </si>
  <si>
    <t>57707</t>
  </si>
  <si>
    <t>58696</t>
  </si>
  <si>
    <t>FACTURA LIBRE 261</t>
  </si>
  <si>
    <t>PEDIDO 8518</t>
  </si>
  <si>
    <t>62094</t>
  </si>
  <si>
    <t>63741</t>
  </si>
  <si>
    <t>63745</t>
  </si>
  <si>
    <t>63748</t>
  </si>
  <si>
    <t>63811</t>
  </si>
  <si>
    <t>71394</t>
  </si>
  <si>
    <t>68943</t>
  </si>
  <si>
    <t>71475</t>
  </si>
  <si>
    <t>71478</t>
  </si>
  <si>
    <t>71577</t>
  </si>
  <si>
    <t>70621</t>
  </si>
  <si>
    <t>73347</t>
  </si>
  <si>
    <t>73345</t>
  </si>
  <si>
    <t>73715</t>
  </si>
  <si>
    <t>73723</t>
  </si>
  <si>
    <t>73750</t>
  </si>
  <si>
    <t>74293</t>
  </si>
  <si>
    <t>BLOQUEADO</t>
  </si>
  <si>
    <t>PEDIDO 10396</t>
  </si>
  <si>
    <t>PEDIDO 10397</t>
  </si>
  <si>
    <t>PEDIDO 10398</t>
  </si>
  <si>
    <t>75482</t>
  </si>
  <si>
    <t>PEDIDO 10521</t>
  </si>
  <si>
    <t>75559</t>
  </si>
  <si>
    <t>PEDIDO 10523</t>
  </si>
  <si>
    <t>75155</t>
  </si>
  <si>
    <t>84896</t>
  </si>
  <si>
    <t>85293</t>
  </si>
  <si>
    <t>85957</t>
  </si>
  <si>
    <t>89142</t>
  </si>
  <si>
    <t>90485</t>
  </si>
  <si>
    <t>90506</t>
  </si>
  <si>
    <t>90495</t>
  </si>
  <si>
    <t>ped12823</t>
  </si>
  <si>
    <t>ped12825</t>
  </si>
  <si>
    <t>ped12836</t>
  </si>
  <si>
    <t>ped12822</t>
  </si>
  <si>
    <t>ped12831</t>
  </si>
  <si>
    <t>93485</t>
  </si>
  <si>
    <t>94475</t>
  </si>
  <si>
    <t>94645</t>
  </si>
  <si>
    <t>96618</t>
  </si>
  <si>
    <t>13752</t>
  </si>
  <si>
    <t>13838</t>
  </si>
  <si>
    <t>99098</t>
  </si>
  <si>
    <t>pedido14030</t>
  </si>
  <si>
    <t>100113</t>
  </si>
  <si>
    <t>100833</t>
  </si>
  <si>
    <t>1199</t>
  </si>
  <si>
    <t>101355</t>
  </si>
  <si>
    <t>101721</t>
  </si>
  <si>
    <t>102200</t>
  </si>
  <si>
    <t>MARCOS</t>
  </si>
  <si>
    <t>103287</t>
  </si>
  <si>
    <t>103689</t>
  </si>
  <si>
    <t>107455</t>
  </si>
  <si>
    <t>108024</t>
  </si>
  <si>
    <t>PEDIDO 15457</t>
  </si>
  <si>
    <t>110790</t>
  </si>
  <si>
    <t>116957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</si>
</sst>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FFCAE"/>
        <bgColor indexed="64"/>
      </patternFill>
    </fill>
    <fill>
      <patternFill patternType="solid">
        <fgColor rgb="FFFFEBAB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0" fillId="3" borderId="1" xfId="0" applyFill="1" applyBorder="1"/>
    <xf numFmtId="2" fontId="0" fillId="3" borderId="2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2" fillId="0" borderId="0" xfId="0" applyFont="1"/>
    <xf numFmtId="49" fontId="2" fillId="0" borderId="0" xfId="0" applyNumberFormat="1" applyFont="1"/>
    <xf numFmtId="49" fontId="0" fillId="0" borderId="0" xfId="0" applyNumberFormat="1"/>
    <xf numFmtId="49" fontId="1" fillId="0" borderId="0" xfId="0" applyNumberFormat="1" applyFont="1"/>
    <xf numFmtId="0" fontId="0" fillId="3" borderId="3" xfId="0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164" fontId="0" fillId="3" borderId="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49" fontId="6" fillId="0" borderId="0" xfId="0" applyNumberFormat="1" applyFont="1"/>
    <xf numFmtId="164" fontId="3" fillId="0" borderId="0" xfId="0" applyNumberFormat="1" applyFont="1" applyAlignment="1">
      <alignment horizontal="right" vertical="center" indent="1"/>
    </xf>
    <xf numFmtId="0" fontId="2" fillId="3" borderId="7" xfId="0" applyFont="1" applyFill="1" applyBorder="1" applyAlignment="1">
      <alignment horizontal="left" vertical="center" indent="1"/>
    </xf>
    <xf numFmtId="164" fontId="2" fillId="3" borderId="5" xfId="0" applyNumberFormat="1" applyFont="1" applyFill="1" applyBorder="1" applyAlignment="1">
      <alignment vertical="center"/>
    </xf>
    <xf numFmtId="2" fontId="2" fillId="3" borderId="10" xfId="0" applyNumberFormat="1" applyFont="1" applyFill="1" applyBorder="1" applyAlignment="1">
      <alignment horizontal="center"/>
    </xf>
    <xf numFmtId="2" fontId="2" fillId="3" borderId="5" xfId="0" applyNumberFormat="1" applyFont="1" applyFill="1" applyBorder="1" applyAlignment="1">
      <alignment horizontal="center"/>
    </xf>
    <xf numFmtId="0" fontId="2" fillId="3" borderId="5" xfId="0" applyFont="1" applyFill="1" applyBorder="1"/>
    <xf numFmtId="0" fontId="7" fillId="3" borderId="7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0" borderId="0" xfId="0" applyFont="1"/>
    <xf numFmtId="49" fontId="4" fillId="0" borderId="0" xfId="0" applyNumberFormat="1" applyFont="1" applyAlignment="1">
      <alignment horizontal="center" vertical="center"/>
    </xf>
    <xf numFmtId="49" fontId="4" fillId="5" borderId="8" xfId="0" applyNumberFormat="1" applyFont="1" applyFill="1" applyBorder="1" applyAlignment="1">
      <alignment horizontal="center" vertical="center"/>
    </xf>
    <xf numFmtId="49" fontId="4" fillId="5" borderId="6" xfId="0" applyNumberFormat="1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164" fontId="9" fillId="3" borderId="5" xfId="0" applyNumberFormat="1" applyFont="1" applyFill="1" applyBorder="1" applyAlignment="1">
      <alignment horizontal="right" vertical="center" indent="1"/>
    </xf>
    <xf numFmtId="164" fontId="11" fillId="3" borderId="1" xfId="0" applyNumberFormat="1" applyFont="1" applyFill="1" applyBorder="1" applyAlignment="1">
      <alignment horizontal="right" vertical="center" indent="1"/>
    </xf>
    <xf numFmtId="0" fontId="0" fillId="6" borderId="0" xfId="0" applyFill="1"/>
    <xf numFmtId="49" fontId="0" fillId="6" borderId="0" xfId="0" applyNumberFormat="1" applyFill="1"/>
    <xf numFmtId="49" fontId="12" fillId="7" borderId="1" xfId="0" applyNumberFormat="1" applyFont="1" applyFill="1" applyBorder="1" applyAlignment="1" applyProtection="1">
      <alignment horizontal="center"/>
      <protection locked="0"/>
    </xf>
    <xf numFmtId="49" fontId="12" fillId="7" borderId="2" xfId="0" applyNumberFormat="1" applyFont="1" applyFill="1" applyBorder="1" applyAlignment="1" applyProtection="1">
      <alignment horizontal="center"/>
      <protection locked="0"/>
    </xf>
    <xf numFmtId="0" fontId="1" fillId="6" borderId="0" xfId="0" applyFont="1" applyFill="1"/>
    <xf numFmtId="49" fontId="1" fillId="6" borderId="0" xfId="0" applyNumberFormat="1" applyFont="1" applyFill="1"/>
    <xf numFmtId="0" fontId="0" fillId="8" borderId="0" xfId="0" applyFill="1"/>
    <xf numFmtId="49" fontId="0" fillId="8" borderId="0" xfId="0" applyNumberFormat="1" applyFill="1"/>
    <xf numFmtId="0" fontId="12" fillId="9" borderId="5" xfId="0" applyFont="1" applyFill="1" applyBorder="1" applyAlignment="1">
      <alignment horizontal="center"/>
    </xf>
    <xf numFmtId="2" fontId="12" fillId="9" borderId="10" xfId="0" applyNumberFormat="1" applyFont="1" applyFill="1" applyBorder="1" applyAlignment="1" applyProtection="1">
      <alignment horizontal="center"/>
      <protection locked="0"/>
    </xf>
    <xf numFmtId="2" fontId="12" fillId="9" borderId="5" xfId="0" applyNumberFormat="1" applyFont="1" applyFill="1" applyBorder="1" applyAlignment="1" applyProtection="1">
      <alignment horizontal="center"/>
      <protection locked="0"/>
    </xf>
    <xf numFmtId="2" fontId="12" fillId="9" borderId="5" xfId="0" applyNumberFormat="1" applyFont="1" applyFill="1" applyBorder="1" applyProtection="1">
      <protection locked="0"/>
    </xf>
    <xf numFmtId="0" fontId="12" fillId="9" borderId="1" xfId="0" applyFont="1" applyFill="1" applyBorder="1" applyAlignment="1">
      <alignment horizontal="center"/>
    </xf>
    <xf numFmtId="2" fontId="12" fillId="9" borderId="2" xfId="0" applyNumberFormat="1" applyFont="1" applyFill="1" applyBorder="1" applyAlignment="1" applyProtection="1">
      <alignment horizontal="center"/>
      <protection locked="0"/>
    </xf>
    <xf numFmtId="2" fontId="12" fillId="9" borderId="1" xfId="0" applyNumberFormat="1" applyFont="1" applyFill="1" applyBorder="1" applyAlignment="1" applyProtection="1">
      <alignment horizontal="center"/>
      <protection locked="0"/>
    </xf>
    <xf numFmtId="2" fontId="12" fillId="9" borderId="1" xfId="0" applyNumberFormat="1" applyFont="1" applyFill="1" applyBorder="1" applyProtection="1">
      <protection locked="0"/>
    </xf>
    <xf numFmtId="0" fontId="2" fillId="7" borderId="0" xfId="0" applyFont="1" applyFill="1"/>
    <xf numFmtId="0" fontId="0" fillId="7" borderId="0" xfId="0" applyFill="1"/>
    <xf numFmtId="49" fontId="2" fillId="7" borderId="0" xfId="0" applyNumberFormat="1" applyFont="1" applyFill="1"/>
    <xf numFmtId="49" fontId="0" fillId="7" borderId="0" xfId="0" applyNumberFormat="1" applyFill="1"/>
    <xf numFmtId="0" fontId="1" fillId="7" borderId="0" xfId="0" applyFont="1" applyFill="1"/>
    <xf numFmtId="49" fontId="1" fillId="7" borderId="0" xfId="0" applyNumberFormat="1" applyFont="1" applyFill="1"/>
    <xf numFmtId="49" fontId="12" fillId="7" borderId="1" xfId="0" applyNumberFormat="1" applyFont="1" applyFill="1" applyBorder="1" applyProtection="1">
      <protection locked="0"/>
    </xf>
    <xf numFmtId="49" fontId="12" fillId="7" borderId="18" xfId="0" applyNumberFormat="1" applyFont="1" applyFill="1" applyBorder="1" applyAlignment="1" applyProtection="1">
      <alignment horizontal="center"/>
      <protection locked="0"/>
    </xf>
    <xf numFmtId="49" fontId="12" fillId="7" borderId="17" xfId="0" applyNumberFormat="1" applyFont="1" applyFill="1" applyBorder="1" applyAlignment="1" applyProtection="1">
      <alignment horizontal="center"/>
      <protection locked="0"/>
    </xf>
    <xf numFmtId="49" fontId="12" fillId="7" borderId="17" xfId="0" applyNumberFormat="1" applyFont="1" applyFill="1" applyBorder="1" applyProtection="1">
      <protection locked="0"/>
    </xf>
    <xf numFmtId="49" fontId="12" fillId="10" borderId="1" xfId="0" applyNumberFormat="1" applyFont="1" applyFill="1" applyBorder="1" applyAlignment="1">
      <alignment horizontal="center"/>
    </xf>
    <xf numFmtId="49" fontId="12" fillId="10" borderId="17" xfId="0" applyNumberFormat="1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2" fontId="12" fillId="6" borderId="2" xfId="0" applyNumberFormat="1" applyFont="1" applyFill="1" applyBorder="1" applyAlignment="1" applyProtection="1">
      <alignment horizontal="center"/>
      <protection locked="0"/>
    </xf>
    <xf numFmtId="2" fontId="12" fillId="6" borderId="1" xfId="0" applyNumberFormat="1" applyFont="1" applyFill="1" applyBorder="1" applyAlignment="1" applyProtection="1">
      <alignment horizontal="center"/>
      <protection locked="0"/>
    </xf>
    <xf numFmtId="2" fontId="12" fillId="6" borderId="1" xfId="0" applyNumberFormat="1" applyFont="1" applyFill="1" applyBorder="1" applyProtection="1">
      <protection locked="0"/>
    </xf>
    <xf numFmtId="49" fontId="12" fillId="6" borderId="1" xfId="0" applyNumberFormat="1" applyFont="1" applyFill="1" applyBorder="1" applyAlignment="1">
      <alignment horizontal="center"/>
    </xf>
    <xf numFmtId="49" fontId="12" fillId="6" borderId="2" xfId="0" applyNumberFormat="1" applyFont="1" applyFill="1" applyBorder="1" applyAlignment="1" applyProtection="1">
      <alignment horizontal="center"/>
      <protection locked="0"/>
    </xf>
    <xf numFmtId="49" fontId="12" fillId="6" borderId="1" xfId="0" applyNumberFormat="1" applyFont="1" applyFill="1" applyBorder="1" applyAlignment="1" applyProtection="1">
      <alignment horizontal="center"/>
      <protection locked="0"/>
    </xf>
    <xf numFmtId="49" fontId="12" fillId="6" borderId="1" xfId="0" applyNumberFormat="1" applyFont="1" applyFill="1" applyBorder="1" applyProtection="1">
      <protection locked="0"/>
    </xf>
    <xf numFmtId="2" fontId="12" fillId="6" borderId="3" xfId="0" applyNumberFormat="1" applyFont="1" applyFill="1" applyBorder="1" applyAlignment="1" applyProtection="1">
      <alignment horizontal="center"/>
      <protection locked="0"/>
    </xf>
    <xf numFmtId="49" fontId="12" fillId="6" borderId="3" xfId="0" applyNumberFormat="1" applyFont="1" applyFill="1" applyBorder="1" applyAlignment="1" applyProtection="1">
      <alignment horizontal="center"/>
      <protection locked="0"/>
    </xf>
    <xf numFmtId="0" fontId="12" fillId="5" borderId="1" xfId="0" applyFont="1" applyFill="1" applyBorder="1" applyAlignment="1">
      <alignment horizontal="center"/>
    </xf>
    <xf numFmtId="2" fontId="12" fillId="5" borderId="2" xfId="0" applyNumberFormat="1" applyFont="1" applyFill="1" applyBorder="1" applyAlignment="1" applyProtection="1">
      <alignment horizontal="center"/>
      <protection locked="0"/>
    </xf>
    <xf numFmtId="2" fontId="12" fillId="5" borderId="1" xfId="0" applyNumberFormat="1" applyFont="1" applyFill="1" applyBorder="1" applyAlignment="1" applyProtection="1">
      <alignment horizontal="center"/>
      <protection locked="0"/>
    </xf>
    <xf numFmtId="2" fontId="12" fillId="5" borderId="1" xfId="0" applyNumberFormat="1" applyFont="1" applyFill="1" applyBorder="1" applyProtection="1">
      <protection locked="0"/>
    </xf>
    <xf numFmtId="49" fontId="12" fillId="5" borderId="1" xfId="0" applyNumberFormat="1" applyFont="1" applyFill="1" applyBorder="1" applyAlignment="1">
      <alignment horizontal="center"/>
    </xf>
    <xf numFmtId="49" fontId="12" fillId="5" borderId="2" xfId="0" applyNumberFormat="1" applyFont="1" applyFill="1" applyBorder="1" applyAlignment="1" applyProtection="1">
      <alignment horizontal="center"/>
      <protection locked="0"/>
    </xf>
    <xf numFmtId="49" fontId="12" fillId="5" borderId="1" xfId="0" applyNumberFormat="1" applyFont="1" applyFill="1" applyBorder="1" applyAlignment="1" applyProtection="1">
      <alignment horizontal="center"/>
      <protection locked="0"/>
    </xf>
    <xf numFmtId="49" fontId="12" fillId="5" borderId="1" xfId="0" applyNumberFormat="1" applyFont="1" applyFill="1" applyBorder="1" applyProtection="1">
      <protection locked="0"/>
    </xf>
    <xf numFmtId="49" fontId="12" fillId="5" borderId="3" xfId="0" applyNumberFormat="1" applyFont="1" applyFill="1" applyBorder="1" applyAlignment="1" applyProtection="1">
      <alignment horizontal="center"/>
      <protection locked="0"/>
    </xf>
    <xf numFmtId="49" fontId="12" fillId="7" borderId="1" xfId="0" applyNumberFormat="1" applyFont="1" applyFill="1" applyBorder="1" applyAlignment="1">
      <alignment horizontal="center"/>
    </xf>
    <xf numFmtId="49" fontId="12" fillId="11" borderId="1" xfId="0" applyNumberFormat="1" applyFont="1" applyFill="1" applyBorder="1" applyAlignment="1">
      <alignment horizontal="center"/>
    </xf>
    <xf numFmtId="0" fontId="9" fillId="9" borderId="19" xfId="0" applyFont="1" applyFill="1" applyBorder="1" applyAlignment="1" applyProtection="1">
      <alignment horizontal="left" vertical="center" indent="1"/>
      <protection locked="0"/>
    </xf>
    <xf numFmtId="0" fontId="9" fillId="9" borderId="13" xfId="0" applyFont="1" applyFill="1" applyBorder="1" applyAlignment="1" applyProtection="1">
      <alignment horizontal="left" vertical="center" indent="1"/>
      <protection locked="0"/>
    </xf>
    <xf numFmtId="0" fontId="9" fillId="9" borderId="14" xfId="0" applyFont="1" applyFill="1" applyBorder="1" applyAlignment="1" applyProtection="1">
      <alignment horizontal="left" vertical="center" indent="1"/>
      <protection locked="0"/>
    </xf>
    <xf numFmtId="0" fontId="9" fillId="6" borderId="14" xfId="0" applyFont="1" applyFill="1" applyBorder="1" applyAlignment="1" applyProtection="1">
      <alignment horizontal="left" vertical="center" indent="1"/>
      <protection locked="0"/>
    </xf>
    <xf numFmtId="0" fontId="9" fillId="6" borderId="13" xfId="0" applyFont="1" applyFill="1" applyBorder="1" applyAlignment="1" applyProtection="1">
      <alignment horizontal="left" vertical="center" indent="1"/>
      <protection locked="0"/>
    </xf>
    <xf numFmtId="0" fontId="9" fillId="5" borderId="14" xfId="0" applyFont="1" applyFill="1" applyBorder="1" applyAlignment="1" applyProtection="1">
      <alignment horizontal="left" vertical="center" indent="1"/>
      <protection locked="0"/>
    </xf>
    <xf numFmtId="0" fontId="9" fillId="5" borderId="13" xfId="0" applyFont="1" applyFill="1" applyBorder="1" applyAlignment="1" applyProtection="1">
      <alignment horizontal="left" vertical="center" indent="1"/>
      <protection locked="0"/>
    </xf>
    <xf numFmtId="0" fontId="9" fillId="9" borderId="15" xfId="0" applyFont="1" applyFill="1" applyBorder="1" applyAlignment="1" applyProtection="1">
      <alignment horizontal="left" vertical="center" indent="1"/>
      <protection locked="0"/>
    </xf>
    <xf numFmtId="49" fontId="5" fillId="4" borderId="8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49" fontId="5" fillId="4" borderId="9" xfId="0" applyNumberFormat="1" applyFont="1" applyFill="1" applyBorder="1" applyAlignment="1">
      <alignment horizontal="center" vertical="center"/>
    </xf>
    <xf numFmtId="2" fontId="9" fillId="11" borderId="12" xfId="0" applyNumberFormat="1" applyFont="1" applyFill="1" applyBorder="1" applyAlignment="1" applyProtection="1">
      <alignment horizontal="center" vertical="center"/>
      <protection locked="0"/>
    </xf>
    <xf numFmtId="2" fontId="9" fillId="11" borderId="5" xfId="0" applyNumberFormat="1" applyFont="1" applyFill="1" applyBorder="1" applyAlignment="1" applyProtection="1">
      <alignment horizontal="center" vertical="center"/>
      <protection locked="0"/>
    </xf>
    <xf numFmtId="2" fontId="9" fillId="11" borderId="3" xfId="0" applyNumberFormat="1" applyFont="1" applyFill="1" applyBorder="1" applyAlignment="1" applyProtection="1">
      <alignment horizontal="center" vertical="center"/>
      <protection locked="0"/>
    </xf>
    <xf numFmtId="2" fontId="9" fillId="6" borderId="3" xfId="0" applyNumberFormat="1" applyFont="1" applyFill="1" applyBorder="1" applyAlignment="1" applyProtection="1">
      <alignment horizontal="center" vertical="center"/>
      <protection locked="0"/>
    </xf>
    <xf numFmtId="2" fontId="9" fillId="6" borderId="5" xfId="0" applyNumberFormat="1" applyFont="1" applyFill="1" applyBorder="1" applyAlignment="1" applyProtection="1">
      <alignment horizontal="center" vertical="center"/>
      <protection locked="0"/>
    </xf>
    <xf numFmtId="2" fontId="9" fillId="5" borderId="3" xfId="0" applyNumberFormat="1" applyFont="1" applyFill="1" applyBorder="1" applyAlignment="1" applyProtection="1">
      <alignment horizontal="center" vertical="center"/>
      <protection locked="0"/>
    </xf>
    <xf numFmtId="2" fontId="9" fillId="5" borderId="5" xfId="0" applyNumberFormat="1" applyFont="1" applyFill="1" applyBorder="1" applyAlignment="1" applyProtection="1">
      <alignment horizontal="center" vertical="center"/>
      <protection locked="0"/>
    </xf>
    <xf numFmtId="2" fontId="9" fillId="11" borderId="16" xfId="0" applyNumberFormat="1" applyFont="1" applyFill="1" applyBorder="1" applyAlignment="1" applyProtection="1">
      <alignment horizontal="center" vertical="center"/>
      <protection locked="0"/>
    </xf>
    <xf numFmtId="164" fontId="9" fillId="2" borderId="12" xfId="0" applyNumberFormat="1" applyFont="1" applyFill="1" applyBorder="1" applyAlignment="1">
      <alignment horizontal="right" vertical="center" indent="1"/>
    </xf>
    <xf numFmtId="164" fontId="9" fillId="2" borderId="5" xfId="0" applyNumberFormat="1" applyFont="1" applyFill="1" applyBorder="1" applyAlignment="1">
      <alignment horizontal="right" vertical="center" indent="1"/>
    </xf>
    <xf numFmtId="164" fontId="9" fillId="5" borderId="12" xfId="0" applyNumberFormat="1" applyFont="1" applyFill="1" applyBorder="1" applyAlignment="1">
      <alignment horizontal="right" vertical="center" indent="1"/>
    </xf>
    <xf numFmtId="164" fontId="9" fillId="5" borderId="5" xfId="0" applyNumberFormat="1" applyFont="1" applyFill="1" applyBorder="1" applyAlignment="1">
      <alignment horizontal="right" vertical="center" indent="1"/>
    </xf>
    <xf numFmtId="164" fontId="9" fillId="6" borderId="12" xfId="0" applyNumberFormat="1" applyFont="1" applyFill="1" applyBorder="1" applyAlignment="1">
      <alignment horizontal="right" vertical="center" indent="1"/>
    </xf>
    <xf numFmtId="164" fontId="9" fillId="6" borderId="5" xfId="0" applyNumberFormat="1" applyFont="1" applyFill="1" applyBorder="1" applyAlignment="1">
      <alignment horizontal="right" vertical="center" indent="1"/>
    </xf>
    <xf numFmtId="0" fontId="9" fillId="9" borderId="12" xfId="0" applyFont="1" applyFill="1" applyBorder="1" applyAlignment="1">
      <alignment horizontal="left" vertical="center" indent="1"/>
    </xf>
    <xf numFmtId="0" fontId="9" fillId="9" borderId="5" xfId="0" applyFont="1" applyFill="1" applyBorder="1" applyAlignment="1">
      <alignment horizontal="left" vertical="center" indent="1"/>
    </xf>
    <xf numFmtId="0" fontId="9" fillId="9" borderId="3" xfId="0" applyFont="1" applyFill="1" applyBorder="1" applyAlignment="1">
      <alignment horizontal="left" vertical="center" indent="1"/>
    </xf>
    <xf numFmtId="0" fontId="9" fillId="6" borderId="3" xfId="0" applyFont="1" applyFill="1" applyBorder="1" applyAlignment="1">
      <alignment horizontal="left" vertical="center" indent="1"/>
    </xf>
    <xf numFmtId="0" fontId="9" fillId="6" borderId="5" xfId="0" applyFont="1" applyFill="1" applyBorder="1" applyAlignment="1">
      <alignment horizontal="left" vertical="center" indent="1"/>
    </xf>
    <xf numFmtId="0" fontId="9" fillId="5" borderId="3" xfId="0" applyFont="1" applyFill="1" applyBorder="1" applyAlignment="1">
      <alignment horizontal="left" vertical="center" indent="1"/>
    </xf>
    <xf numFmtId="0" fontId="9" fillId="5" borderId="5" xfId="0" applyFont="1" applyFill="1" applyBorder="1" applyAlignment="1">
      <alignment horizontal="left" vertical="center" indent="1"/>
    </xf>
    <xf numFmtId="164" fontId="4" fillId="5" borderId="8" xfId="0" applyNumberFormat="1" applyFont="1" applyFill="1" applyBorder="1" applyAlignment="1">
      <alignment horizontal="center" vertical="center"/>
    </xf>
    <xf numFmtId="164" fontId="4" fillId="5" borderId="9" xfId="0" applyNumberFormat="1" applyFont="1" applyFill="1" applyBorder="1" applyAlignment="1">
      <alignment horizontal="center" vertical="center"/>
    </xf>
    <xf numFmtId="49" fontId="4" fillId="5" borderId="11" xfId="0" applyNumberFormat="1" applyFont="1" applyFill="1" applyBorder="1" applyAlignment="1">
      <alignment horizontal="center" vertical="center"/>
    </xf>
    <xf numFmtId="49" fontId="4" fillId="5" borderId="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BAB"/>
      <color rgb="FFEFFCAE"/>
      <color rgb="FF71BAC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Escala de grise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O149"/>
  <sheetViews>
    <sheetView tabSelected="1" topLeftCell="A67" zoomScale="60" zoomScaleNormal="60" workbookViewId="0">
      <selection activeCell="Q85" sqref="Q85"/>
    </sheetView>
  </sheetViews>
  <sheetFormatPr baseColWidth="10" defaultRowHeight="23.25" x14ac:dyDescent="0.25"/>
  <cols>
    <col min="1" max="1" width="47.5703125" style="12" customWidth="1"/>
    <col min="2" max="2" width="20.5703125" style="14" customWidth="1"/>
    <col min="3" max="3" width="13.7109375" style="24" customWidth="1"/>
    <col min="4" max="26" width="15.7109375" customWidth="1"/>
    <col min="27" max="27" width="47.5703125" style="30" customWidth="1"/>
    <col min="28" max="28" width="28.140625" style="16" bestFit="1" customWidth="1"/>
  </cols>
  <sheetData>
    <row r="1" spans="1:81" s="15" customFormat="1" ht="27" customHeight="1" thickBot="1" x14ac:dyDescent="0.4">
      <c r="A1" s="90" t="s">
        <v>69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2"/>
    </row>
    <row r="2" spans="1:81" s="25" customFormat="1" ht="24" customHeight="1" thickBot="1" x14ac:dyDescent="0.3">
      <c r="A2" s="26" t="s">
        <v>53</v>
      </c>
      <c r="B2" s="27" t="s">
        <v>57</v>
      </c>
      <c r="C2" s="116" t="s">
        <v>55</v>
      </c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7"/>
      <c r="AA2" s="114" t="s">
        <v>56</v>
      </c>
      <c r="AB2" s="115"/>
    </row>
    <row r="3" spans="1:81" ht="18.75" customHeight="1" x14ac:dyDescent="0.35">
      <c r="A3" s="82" t="s">
        <v>0</v>
      </c>
      <c r="B3" s="93">
        <v>2360</v>
      </c>
      <c r="C3" s="41" t="s">
        <v>54</v>
      </c>
      <c r="D3" s="42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107" t="str">
        <f>A3</f>
        <v>ADNOTOR</v>
      </c>
      <c r="AB3" s="101">
        <f>B3-SUM(D3:Z3)</f>
        <v>2360</v>
      </c>
      <c r="AC3" s="7"/>
    </row>
    <row r="4" spans="1:81" s="9" customFormat="1" ht="18.75" customHeight="1" thickBot="1" x14ac:dyDescent="0.4">
      <c r="A4" s="83"/>
      <c r="B4" s="94"/>
      <c r="C4" s="59" t="s">
        <v>1</v>
      </c>
      <c r="D4" s="36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108"/>
      <c r="AB4" s="102"/>
      <c r="AC4" s="8"/>
    </row>
    <row r="5" spans="1:81" ht="18.75" customHeight="1" x14ac:dyDescent="0.35">
      <c r="A5" s="84" t="s">
        <v>2</v>
      </c>
      <c r="B5" s="95">
        <v>1500</v>
      </c>
      <c r="C5" s="45" t="s">
        <v>54</v>
      </c>
      <c r="D5" s="46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109" t="str">
        <f>A5</f>
        <v>AGULLO</v>
      </c>
      <c r="AB5" s="101">
        <f>B5-SUM(D5:Z5)</f>
        <v>1500</v>
      </c>
      <c r="AC5" s="7"/>
    </row>
    <row r="6" spans="1:81" s="9" customFormat="1" ht="18.75" customHeight="1" thickBot="1" x14ac:dyDescent="0.4">
      <c r="A6" s="83"/>
      <c r="B6" s="94"/>
      <c r="C6" s="59" t="s">
        <v>1</v>
      </c>
      <c r="D6" s="36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108"/>
      <c r="AB6" s="102"/>
      <c r="AC6" s="8"/>
    </row>
    <row r="7" spans="1:81" ht="18.75" customHeight="1" x14ac:dyDescent="0.35">
      <c r="A7" s="84" t="s">
        <v>3</v>
      </c>
      <c r="B7" s="95">
        <v>3048</v>
      </c>
      <c r="C7" s="45" t="s">
        <v>54</v>
      </c>
      <c r="D7" s="46">
        <v>274</v>
      </c>
      <c r="E7" s="47">
        <v>1390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109" t="str">
        <f>A7</f>
        <v>AUTOCOLOR</v>
      </c>
      <c r="AB7" s="101">
        <f>B7-SUM(D7:Z7)</f>
        <v>1384</v>
      </c>
      <c r="AC7" s="7"/>
    </row>
    <row r="8" spans="1:81" s="9" customFormat="1" ht="18.75" customHeight="1" thickBot="1" x14ac:dyDescent="0.4">
      <c r="A8" s="83"/>
      <c r="B8" s="94"/>
      <c r="C8" s="59" t="s">
        <v>1</v>
      </c>
      <c r="D8" s="36" t="s">
        <v>112</v>
      </c>
      <c r="E8" s="35" t="s">
        <v>176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108"/>
      <c r="AB8" s="102"/>
      <c r="AC8" s="8"/>
    </row>
    <row r="9" spans="1:81" s="33" customFormat="1" ht="18.75" customHeight="1" x14ac:dyDescent="0.35">
      <c r="A9" s="84" t="s">
        <v>4</v>
      </c>
      <c r="B9" s="95">
        <v>4800</v>
      </c>
      <c r="C9" s="45" t="s">
        <v>54</v>
      </c>
      <c r="D9" s="46">
        <v>450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109" t="str">
        <f>A9</f>
        <v>AUTOLAVADOS</v>
      </c>
      <c r="AB9" s="101">
        <f>B9-SUM(D9:Z9)</f>
        <v>4350</v>
      </c>
      <c r="AC9" s="49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0"/>
      <c r="BM9" s="50"/>
      <c r="BN9" s="50"/>
      <c r="BO9" s="50"/>
      <c r="BP9" s="50"/>
      <c r="BQ9" s="50"/>
      <c r="BR9" s="50"/>
      <c r="BS9" s="50"/>
      <c r="BT9" s="50"/>
      <c r="BU9" s="50"/>
      <c r="BV9" s="50"/>
      <c r="BW9" s="50"/>
      <c r="BX9" s="50"/>
      <c r="BY9" s="50"/>
      <c r="BZ9" s="50"/>
      <c r="CA9" s="50"/>
      <c r="CB9" s="50"/>
      <c r="CC9" s="50"/>
    </row>
    <row r="10" spans="1:81" s="34" customFormat="1" ht="18.75" customHeight="1" thickBot="1" x14ac:dyDescent="0.4">
      <c r="A10" s="83"/>
      <c r="B10" s="94"/>
      <c r="C10" s="59" t="s">
        <v>1</v>
      </c>
      <c r="D10" s="36" t="s">
        <v>107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108"/>
      <c r="AB10" s="102"/>
      <c r="AC10" s="51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</row>
    <row r="11" spans="1:81" ht="18.75" customHeight="1" x14ac:dyDescent="0.35">
      <c r="A11" s="84" t="s">
        <v>58</v>
      </c>
      <c r="B11" s="95">
        <v>671</v>
      </c>
      <c r="C11" s="45" t="s">
        <v>54</v>
      </c>
      <c r="D11" s="46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109" t="str">
        <f>A11</f>
        <v xml:space="preserve">AUTOMAGIC </v>
      </c>
      <c r="AB11" s="101">
        <f>B11-SUM(D11:Z11)</f>
        <v>671</v>
      </c>
      <c r="AC11" s="7"/>
    </row>
    <row r="12" spans="1:81" s="9" customFormat="1" ht="18.75" customHeight="1" thickBot="1" x14ac:dyDescent="0.4">
      <c r="A12" s="83"/>
      <c r="B12" s="94"/>
      <c r="C12" s="59" t="s">
        <v>1</v>
      </c>
      <c r="D12" s="36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108"/>
      <c r="AB12" s="102"/>
      <c r="AC12" s="8"/>
    </row>
    <row r="13" spans="1:81" ht="18.75" customHeight="1" x14ac:dyDescent="0.35">
      <c r="A13" s="84" t="s">
        <v>37</v>
      </c>
      <c r="B13" s="95">
        <v>3414</v>
      </c>
      <c r="C13" s="45" t="s">
        <v>54</v>
      </c>
      <c r="D13" s="46">
        <v>27</v>
      </c>
      <c r="E13" s="47">
        <v>12.64</v>
      </c>
      <c r="F13" s="47">
        <v>109.91</v>
      </c>
      <c r="G13" s="47">
        <v>40.659999999999997</v>
      </c>
      <c r="H13" s="47">
        <v>133.72</v>
      </c>
      <c r="I13" s="47">
        <v>112.98</v>
      </c>
      <c r="J13" s="47">
        <v>1.95</v>
      </c>
      <c r="K13" s="47">
        <v>11.95</v>
      </c>
      <c r="L13" s="47">
        <v>109</v>
      </c>
      <c r="M13" s="47">
        <v>159</v>
      </c>
      <c r="N13" s="47">
        <v>28.52</v>
      </c>
      <c r="O13" s="47">
        <v>34.08</v>
      </c>
      <c r="P13" s="48">
        <v>59.9</v>
      </c>
      <c r="Q13" s="48">
        <v>7.2</v>
      </c>
      <c r="R13" s="48">
        <v>58.95</v>
      </c>
      <c r="S13" s="48"/>
      <c r="T13" s="48"/>
      <c r="U13" s="48"/>
      <c r="V13" s="48"/>
      <c r="W13" s="48"/>
      <c r="X13" s="48"/>
      <c r="Y13" s="48"/>
      <c r="Z13" s="48"/>
      <c r="AA13" s="109" t="str">
        <f>A13</f>
        <v>AUTOMOCIÓN ISLA</v>
      </c>
      <c r="AB13" s="101">
        <f>B13-SUM(D13:Z13)</f>
        <v>2506.54</v>
      </c>
      <c r="AC13" s="7"/>
    </row>
    <row r="14" spans="1:81" s="9" customFormat="1" ht="18.75" customHeight="1" thickBot="1" x14ac:dyDescent="0.4">
      <c r="A14" s="83"/>
      <c r="B14" s="94"/>
      <c r="C14" s="59" t="s">
        <v>1</v>
      </c>
      <c r="D14" s="36" t="s">
        <v>91</v>
      </c>
      <c r="E14" s="35" t="s">
        <v>99</v>
      </c>
      <c r="F14" s="35" t="s">
        <v>110</v>
      </c>
      <c r="G14" s="35" t="s">
        <v>118</v>
      </c>
      <c r="H14" s="35" t="s">
        <v>126</v>
      </c>
      <c r="I14" s="35" t="s">
        <v>129</v>
      </c>
      <c r="J14" s="35" t="s">
        <v>134</v>
      </c>
      <c r="K14" s="35" t="s">
        <v>135</v>
      </c>
      <c r="L14" s="35" t="s">
        <v>142</v>
      </c>
      <c r="M14" s="35" t="s">
        <v>144</v>
      </c>
      <c r="N14" s="35" t="s">
        <v>146</v>
      </c>
      <c r="O14" s="35" t="s">
        <v>152</v>
      </c>
      <c r="P14" s="55" t="s">
        <v>183</v>
      </c>
      <c r="Q14" s="55" t="s">
        <v>189</v>
      </c>
      <c r="R14" s="55" t="s">
        <v>191</v>
      </c>
      <c r="S14" s="55"/>
      <c r="T14" s="55"/>
      <c r="U14" s="55"/>
      <c r="V14" s="55"/>
      <c r="W14" s="55"/>
      <c r="X14" s="55"/>
      <c r="Y14" s="55"/>
      <c r="Z14" s="55"/>
      <c r="AA14" s="108"/>
      <c r="AB14" s="102"/>
      <c r="AC14" s="8"/>
    </row>
    <row r="15" spans="1:81" ht="18.75" customHeight="1" x14ac:dyDescent="0.35">
      <c r="A15" s="85" t="s">
        <v>61</v>
      </c>
      <c r="B15" s="96">
        <v>0</v>
      </c>
      <c r="C15" s="61" t="s">
        <v>54</v>
      </c>
      <c r="D15" s="62">
        <v>149</v>
      </c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110" t="str">
        <f>A15</f>
        <v xml:space="preserve">AUTOMOCION SAN FERNANDO </v>
      </c>
      <c r="AB15" s="105">
        <f>B15-SUM(D15:Z15)</f>
        <v>-149</v>
      </c>
      <c r="AC15" s="7"/>
    </row>
    <row r="16" spans="1:81" s="9" customFormat="1" ht="18.75" customHeight="1" thickBot="1" x14ac:dyDescent="0.4">
      <c r="A16" s="86"/>
      <c r="B16" s="97"/>
      <c r="C16" s="65" t="s">
        <v>1</v>
      </c>
      <c r="D16" s="66" t="s">
        <v>94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111"/>
      <c r="AB16" s="106"/>
      <c r="AC16" s="8"/>
    </row>
    <row r="17" spans="1:29" s="1" customFormat="1" ht="18.75" customHeight="1" x14ac:dyDescent="0.35">
      <c r="A17" s="84" t="s">
        <v>67</v>
      </c>
      <c r="B17" s="95">
        <v>0</v>
      </c>
      <c r="C17" s="45" t="s">
        <v>54</v>
      </c>
      <c r="D17" s="46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109" t="str">
        <f>A17</f>
        <v>AUTOS MARI</v>
      </c>
      <c r="AB17" s="101">
        <f>B17-SUM(D17:Z17)</f>
        <v>0</v>
      </c>
    </row>
    <row r="18" spans="1:29" s="10" customFormat="1" ht="18.75" customHeight="1" thickBot="1" x14ac:dyDescent="0.4">
      <c r="A18" s="83"/>
      <c r="B18" s="94"/>
      <c r="C18" s="59" t="s">
        <v>1</v>
      </c>
      <c r="D18" s="36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108"/>
      <c r="AB18" s="102"/>
    </row>
    <row r="19" spans="1:29" ht="18.75" customHeight="1" x14ac:dyDescent="0.35">
      <c r="A19" s="84" t="s">
        <v>5</v>
      </c>
      <c r="B19" s="95">
        <v>2331</v>
      </c>
      <c r="C19" s="45" t="s">
        <v>54</v>
      </c>
      <c r="D19" s="46">
        <v>492</v>
      </c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109" t="str">
        <f>A19</f>
        <v>BARTOLME MARI</v>
      </c>
      <c r="AB19" s="101">
        <f>B19-SUM(D19:Z19)</f>
        <v>1839</v>
      </c>
      <c r="AC19" s="7"/>
    </row>
    <row r="20" spans="1:29" s="9" customFormat="1" ht="18.75" customHeight="1" thickBot="1" x14ac:dyDescent="0.4">
      <c r="A20" s="83"/>
      <c r="B20" s="94"/>
      <c r="C20" s="59" t="s">
        <v>1</v>
      </c>
      <c r="D20" s="36" t="s">
        <v>75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108"/>
      <c r="AB20" s="102"/>
      <c r="AC20" s="8"/>
    </row>
    <row r="21" spans="1:29" s="1" customFormat="1" ht="18.75" customHeight="1" x14ac:dyDescent="0.35">
      <c r="A21" s="84" t="s">
        <v>6</v>
      </c>
      <c r="B21" s="95">
        <v>4195</v>
      </c>
      <c r="C21" s="45" t="s">
        <v>54</v>
      </c>
      <c r="D21" s="46">
        <v>109.91</v>
      </c>
      <c r="E21" s="47">
        <v>2911.43</v>
      </c>
      <c r="F21" s="47">
        <v>228.1</v>
      </c>
      <c r="G21" s="47">
        <v>109.76</v>
      </c>
      <c r="H21" s="47">
        <v>175</v>
      </c>
      <c r="I21" s="47"/>
      <c r="J21" s="47"/>
      <c r="K21" s="47"/>
      <c r="L21" s="47"/>
      <c r="M21" s="47"/>
      <c r="N21" s="47"/>
      <c r="O21" s="47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109" t="str">
        <f>A21</f>
        <v>BUMALI</v>
      </c>
      <c r="AB21" s="101">
        <f>B21-SUM(D21:Z21)</f>
        <v>660.80000000000018</v>
      </c>
    </row>
    <row r="22" spans="1:29" s="10" customFormat="1" ht="18.75" customHeight="1" thickBot="1" x14ac:dyDescent="0.4">
      <c r="A22" s="83"/>
      <c r="B22" s="94"/>
      <c r="C22" s="59" t="s">
        <v>1</v>
      </c>
      <c r="D22" s="36" t="s">
        <v>122</v>
      </c>
      <c r="E22" s="35" t="s">
        <v>137</v>
      </c>
      <c r="F22" s="35" t="s">
        <v>169</v>
      </c>
      <c r="G22" s="35" t="s">
        <v>172</v>
      </c>
      <c r="H22" s="35" t="s">
        <v>187</v>
      </c>
      <c r="I22" s="35"/>
      <c r="J22" s="35"/>
      <c r="K22" s="35"/>
      <c r="L22" s="35"/>
      <c r="M22" s="35"/>
      <c r="N22" s="35"/>
      <c r="O22" s="3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108"/>
      <c r="AB22" s="102"/>
    </row>
    <row r="23" spans="1:29" s="1" customFormat="1" ht="18.75" customHeight="1" x14ac:dyDescent="0.35">
      <c r="A23" s="85" t="s">
        <v>36</v>
      </c>
      <c r="B23" s="96">
        <v>305</v>
      </c>
      <c r="C23" s="61" t="s">
        <v>54</v>
      </c>
      <c r="D23" s="62">
        <v>250.4</v>
      </c>
      <c r="E23" s="63">
        <v>90.54</v>
      </c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110" t="str">
        <f>A23</f>
        <v>CAN RITA</v>
      </c>
      <c r="AB23" s="105">
        <f>B23-SUM(D23:Z23)</f>
        <v>-35.94</v>
      </c>
    </row>
    <row r="24" spans="1:29" s="9" customFormat="1" ht="18.75" customHeight="1" thickBot="1" x14ac:dyDescent="0.4">
      <c r="A24" s="86"/>
      <c r="B24" s="97"/>
      <c r="C24" s="65" t="s">
        <v>1</v>
      </c>
      <c r="D24" s="66" t="s">
        <v>77</v>
      </c>
      <c r="E24" s="67" t="s">
        <v>78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111"/>
      <c r="AB24" s="106"/>
      <c r="AC24" s="8"/>
    </row>
    <row r="25" spans="1:29" s="1" customFormat="1" ht="18.75" customHeight="1" x14ac:dyDescent="0.35">
      <c r="A25" s="85" t="s">
        <v>7</v>
      </c>
      <c r="B25" s="96">
        <v>415</v>
      </c>
      <c r="C25" s="61" t="s">
        <v>54</v>
      </c>
      <c r="D25" s="62">
        <v>679</v>
      </c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110" t="str">
        <f>A25</f>
        <v>CAS MOTOR</v>
      </c>
      <c r="AB25" s="105">
        <f>B25-SUM(D25:Z25)</f>
        <v>-264</v>
      </c>
    </row>
    <row r="26" spans="1:29" s="10" customFormat="1" ht="18.75" customHeight="1" thickBot="1" x14ac:dyDescent="0.4">
      <c r="A26" s="86"/>
      <c r="B26" s="97"/>
      <c r="C26" s="65" t="s">
        <v>1</v>
      </c>
      <c r="D26" s="66" t="s">
        <v>156</v>
      </c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111"/>
      <c r="AB26" s="106"/>
    </row>
    <row r="27" spans="1:29" ht="18.75" customHeight="1" x14ac:dyDescent="0.35">
      <c r="A27" s="84" t="s">
        <v>59</v>
      </c>
      <c r="B27" s="95">
        <v>1105</v>
      </c>
      <c r="C27" s="45" t="s">
        <v>54</v>
      </c>
      <c r="D27" s="46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109" t="str">
        <f>A27</f>
        <v>CLASS CAR SERVICE</v>
      </c>
      <c r="AB27" s="101">
        <f>B27-SUM(D27:Z27)</f>
        <v>1105</v>
      </c>
      <c r="AC27" s="7"/>
    </row>
    <row r="28" spans="1:29" s="9" customFormat="1" ht="18.75" customHeight="1" thickBot="1" x14ac:dyDescent="0.4">
      <c r="A28" s="83"/>
      <c r="B28" s="94"/>
      <c r="C28" s="59" t="s">
        <v>1</v>
      </c>
      <c r="D28" s="36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108"/>
      <c r="AB28" s="102"/>
      <c r="AC28" s="8"/>
    </row>
    <row r="29" spans="1:29" ht="18.75" customHeight="1" x14ac:dyDescent="0.35">
      <c r="A29" s="84" t="s">
        <v>8</v>
      </c>
      <c r="B29" s="95">
        <v>0</v>
      </c>
      <c r="C29" s="45" t="s">
        <v>54</v>
      </c>
      <c r="D29" s="46" t="s">
        <v>73</v>
      </c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  <c r="AA29" s="109" t="str">
        <f>A29</f>
        <v>COTORRO</v>
      </c>
      <c r="AB29" s="101">
        <f>B29-SUM(D29:Z29)</f>
        <v>0</v>
      </c>
      <c r="AC29" s="7"/>
    </row>
    <row r="30" spans="1:29" s="9" customFormat="1" ht="18.75" customHeight="1" thickBot="1" x14ac:dyDescent="0.4">
      <c r="A30" s="83"/>
      <c r="B30" s="94"/>
      <c r="C30" s="59" t="s">
        <v>1</v>
      </c>
      <c r="D30" s="36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108"/>
      <c r="AB30" s="102"/>
      <c r="AC30" s="8"/>
    </row>
    <row r="31" spans="1:29" s="1" customFormat="1" ht="18.75" customHeight="1" x14ac:dyDescent="0.35">
      <c r="A31" s="87" t="s">
        <v>9</v>
      </c>
      <c r="B31" s="98">
        <v>3321</v>
      </c>
      <c r="C31" s="71" t="s">
        <v>54</v>
      </c>
      <c r="D31" s="72">
        <v>159.94999999999999</v>
      </c>
      <c r="E31" s="73">
        <v>14</v>
      </c>
      <c r="F31" s="73">
        <v>98</v>
      </c>
      <c r="G31" s="73">
        <v>88</v>
      </c>
      <c r="H31" s="73">
        <v>682.9</v>
      </c>
      <c r="I31" s="73">
        <v>99.59</v>
      </c>
      <c r="J31" s="73">
        <v>18</v>
      </c>
      <c r="K31" s="73" t="s">
        <v>190</v>
      </c>
      <c r="L31" s="73"/>
      <c r="M31" s="73"/>
      <c r="N31" s="73"/>
      <c r="O31" s="73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112" t="str">
        <f>A31</f>
        <v>CRUZ</v>
      </c>
      <c r="AB31" s="103">
        <f>B31-SUM(D31:Z31)</f>
        <v>2160.5600000000004</v>
      </c>
    </row>
    <row r="32" spans="1:29" s="10" customFormat="1" ht="18.75" customHeight="1" thickBot="1" x14ac:dyDescent="0.4">
      <c r="A32" s="88"/>
      <c r="B32" s="99"/>
      <c r="C32" s="75" t="s">
        <v>1</v>
      </c>
      <c r="D32" s="76" t="s">
        <v>98</v>
      </c>
      <c r="E32" s="77" t="s">
        <v>108</v>
      </c>
      <c r="F32" s="77" t="s">
        <v>113</v>
      </c>
      <c r="G32" s="77" t="s">
        <v>115</v>
      </c>
      <c r="H32" s="77" t="s">
        <v>164</v>
      </c>
      <c r="I32" s="77" t="s">
        <v>165</v>
      </c>
      <c r="J32" s="77" t="s">
        <v>179</v>
      </c>
      <c r="K32" s="77" t="s">
        <v>155</v>
      </c>
      <c r="L32" s="77"/>
      <c r="M32" s="77"/>
      <c r="N32" s="77"/>
      <c r="O32" s="77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113"/>
      <c r="AB32" s="104"/>
    </row>
    <row r="33" spans="1:29" ht="18.75" customHeight="1" x14ac:dyDescent="0.35">
      <c r="A33" s="84" t="s">
        <v>38</v>
      </c>
      <c r="B33" s="95">
        <v>1284</v>
      </c>
      <c r="C33" s="45" t="s">
        <v>54</v>
      </c>
      <c r="D33" s="46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109" t="str">
        <f>A33</f>
        <v>CURUNE</v>
      </c>
      <c r="AB33" s="101">
        <f>B33-SUM(D33:Z33)</f>
        <v>1284</v>
      </c>
      <c r="AC33" s="7"/>
    </row>
    <row r="34" spans="1:29" s="9" customFormat="1" ht="18.75" customHeight="1" thickBot="1" x14ac:dyDescent="0.4">
      <c r="A34" s="83"/>
      <c r="B34" s="94"/>
      <c r="C34" s="59" t="s">
        <v>1</v>
      </c>
      <c r="D34" s="36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108"/>
      <c r="AB34" s="102"/>
      <c r="AC34" s="8"/>
    </row>
    <row r="35" spans="1:29" ht="18.75" customHeight="1" x14ac:dyDescent="0.35">
      <c r="A35" s="84" t="s">
        <v>39</v>
      </c>
      <c r="B35" s="95">
        <v>0</v>
      </c>
      <c r="C35" s="45" t="s">
        <v>54</v>
      </c>
      <c r="D35" s="46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109" t="str">
        <f>A35</f>
        <v>EIVISSA LAN</v>
      </c>
      <c r="AB35" s="101">
        <f>B35-SUM(D35:Z35)</f>
        <v>0</v>
      </c>
      <c r="AC35" s="7"/>
    </row>
    <row r="36" spans="1:29" s="9" customFormat="1" ht="18.75" customHeight="1" thickBot="1" x14ac:dyDescent="0.4">
      <c r="A36" s="83"/>
      <c r="B36" s="94"/>
      <c r="C36" s="59" t="s">
        <v>1</v>
      </c>
      <c r="D36" s="36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108"/>
      <c r="AB36" s="102"/>
      <c r="AC36" s="8"/>
    </row>
    <row r="37" spans="1:29" s="1" customFormat="1" ht="18.75" customHeight="1" x14ac:dyDescent="0.35">
      <c r="A37" s="85" t="s">
        <v>40</v>
      </c>
      <c r="B37" s="96">
        <v>2551</v>
      </c>
      <c r="C37" s="61" t="s">
        <v>54</v>
      </c>
      <c r="D37" s="62">
        <v>39.6</v>
      </c>
      <c r="E37" s="63">
        <v>50</v>
      </c>
      <c r="F37" s="63">
        <v>99</v>
      </c>
      <c r="G37" s="63">
        <v>61.4</v>
      </c>
      <c r="H37" s="63">
        <v>3090</v>
      </c>
      <c r="I37" s="63"/>
      <c r="J37" s="63"/>
      <c r="K37" s="63"/>
      <c r="L37" s="63"/>
      <c r="M37" s="63"/>
      <c r="N37" s="63"/>
      <c r="O37" s="63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110" t="str">
        <f>A37</f>
        <v>ESCUTIA</v>
      </c>
      <c r="AB37" s="105">
        <f>B37-SUM(D37:Z37)</f>
        <v>-789</v>
      </c>
    </row>
    <row r="38" spans="1:29" s="10" customFormat="1" ht="18.75" customHeight="1" thickBot="1" x14ac:dyDescent="0.4">
      <c r="A38" s="86"/>
      <c r="B38" s="97"/>
      <c r="C38" s="65" t="s">
        <v>1</v>
      </c>
      <c r="D38" s="66" t="s">
        <v>100</v>
      </c>
      <c r="E38" s="67" t="s">
        <v>103</v>
      </c>
      <c r="F38" s="67" t="s">
        <v>147</v>
      </c>
      <c r="G38" s="67" t="s">
        <v>149</v>
      </c>
      <c r="H38" s="67" t="s">
        <v>177</v>
      </c>
      <c r="I38" s="67"/>
      <c r="J38" s="67"/>
      <c r="K38" s="67"/>
      <c r="L38" s="67"/>
      <c r="M38" s="67"/>
      <c r="N38" s="67"/>
      <c r="O38" s="67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111"/>
      <c r="AB38" s="106"/>
    </row>
    <row r="39" spans="1:29" ht="18.75" customHeight="1" x14ac:dyDescent="0.35">
      <c r="A39" s="84" t="s">
        <v>41</v>
      </c>
      <c r="B39" s="95">
        <v>4942</v>
      </c>
      <c r="C39" s="45" t="s">
        <v>54</v>
      </c>
      <c r="D39" s="46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109" t="str">
        <f>A39</f>
        <v>FORMENTERA MOTOR</v>
      </c>
      <c r="AB39" s="101">
        <f>B39-SUM(D39:Z39)</f>
        <v>4942</v>
      </c>
      <c r="AC39" s="7"/>
    </row>
    <row r="40" spans="1:29" s="9" customFormat="1" ht="18.75" customHeight="1" thickBot="1" x14ac:dyDescent="0.4">
      <c r="A40" s="83"/>
      <c r="B40" s="94"/>
      <c r="C40" s="59" t="s">
        <v>1</v>
      </c>
      <c r="D40" s="36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108"/>
      <c r="AB40" s="102"/>
      <c r="AC40" s="8"/>
    </row>
    <row r="41" spans="1:29" ht="18.75" customHeight="1" x14ac:dyDescent="0.35">
      <c r="A41" s="85" t="s">
        <v>42</v>
      </c>
      <c r="B41" s="96">
        <v>7917</v>
      </c>
      <c r="C41" s="61" t="s">
        <v>54</v>
      </c>
      <c r="D41" s="62">
        <v>7917</v>
      </c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110" t="str">
        <f>A41</f>
        <v>FRANCISCO TORRES</v>
      </c>
      <c r="AB41" s="105">
        <f>B41-SUM(D41:Z41)</f>
        <v>0</v>
      </c>
      <c r="AC41" s="7"/>
    </row>
    <row r="42" spans="1:29" s="9" customFormat="1" ht="18.75" customHeight="1" thickBot="1" x14ac:dyDescent="0.4">
      <c r="A42" s="86"/>
      <c r="B42" s="97"/>
      <c r="C42" s="65" t="s">
        <v>1</v>
      </c>
      <c r="D42" s="66" t="s">
        <v>83</v>
      </c>
      <c r="E42" s="67"/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111"/>
      <c r="AB42" s="106"/>
      <c r="AC42" s="8"/>
    </row>
    <row r="43" spans="1:29" s="1" customFormat="1" ht="18.75" customHeight="1" x14ac:dyDescent="0.35">
      <c r="A43" s="84" t="s">
        <v>10</v>
      </c>
      <c r="B43" s="95">
        <v>3026</v>
      </c>
      <c r="C43" s="45" t="s">
        <v>54</v>
      </c>
      <c r="D43" s="46">
        <v>1418</v>
      </c>
      <c r="E43" s="47">
        <v>319</v>
      </c>
      <c r="F43" s="47">
        <v>359</v>
      </c>
      <c r="G43" s="47"/>
      <c r="H43" s="47"/>
      <c r="I43" s="47"/>
      <c r="J43" s="47"/>
      <c r="K43" s="47"/>
      <c r="L43" s="47"/>
      <c r="M43" s="47"/>
      <c r="N43" s="47"/>
      <c r="O43" s="47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109" t="str">
        <f>A43</f>
        <v>FUSIAUTO</v>
      </c>
      <c r="AB43" s="101">
        <f>B43-SUM(D43:Z43)</f>
        <v>930</v>
      </c>
    </row>
    <row r="44" spans="1:29" s="10" customFormat="1" ht="18.75" customHeight="1" thickBot="1" x14ac:dyDescent="0.4">
      <c r="A44" s="83"/>
      <c r="B44" s="94"/>
      <c r="C44" s="59" t="s">
        <v>1</v>
      </c>
      <c r="D44" s="36" t="s">
        <v>97</v>
      </c>
      <c r="E44" s="35" t="s">
        <v>116</v>
      </c>
      <c r="F44" s="35" t="s">
        <v>138</v>
      </c>
      <c r="G44" s="35"/>
      <c r="H44" s="35"/>
      <c r="I44" s="35"/>
      <c r="J44" s="35"/>
      <c r="K44" s="35"/>
      <c r="L44" s="35"/>
      <c r="M44" s="35"/>
      <c r="N44" s="35"/>
      <c r="O44" s="3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108"/>
      <c r="AB44" s="102"/>
    </row>
    <row r="45" spans="1:29" s="1" customFormat="1" ht="18.75" customHeight="1" x14ac:dyDescent="0.35">
      <c r="A45" s="85" t="s">
        <v>43</v>
      </c>
      <c r="B45" s="96">
        <v>2594</v>
      </c>
      <c r="C45" s="61" t="s">
        <v>54</v>
      </c>
      <c r="D45" s="62">
        <v>2594</v>
      </c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63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110" t="str">
        <f>A45</f>
        <v>GARAGE 51</v>
      </c>
      <c r="AB45" s="105">
        <f>B45-SUM(D45:Z45)</f>
        <v>0</v>
      </c>
    </row>
    <row r="46" spans="1:29" s="10" customFormat="1" ht="18.75" customHeight="1" thickBot="1" x14ac:dyDescent="0.4">
      <c r="A46" s="86"/>
      <c r="B46" s="97"/>
      <c r="C46" s="65" t="s">
        <v>1</v>
      </c>
      <c r="D46" s="66" t="s">
        <v>109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111"/>
      <c r="AB46" s="106"/>
    </row>
    <row r="47" spans="1:29" s="1" customFormat="1" ht="18.75" customHeight="1" x14ac:dyDescent="0.35">
      <c r="A47" s="84" t="s">
        <v>44</v>
      </c>
      <c r="B47" s="95">
        <v>1335</v>
      </c>
      <c r="C47" s="45" t="s">
        <v>54</v>
      </c>
      <c r="D47" s="46">
        <v>68</v>
      </c>
      <c r="E47" s="47">
        <v>169.95</v>
      </c>
      <c r="F47" s="47">
        <v>307.42</v>
      </c>
      <c r="G47" s="47">
        <v>121</v>
      </c>
      <c r="H47" s="47"/>
      <c r="I47" s="47"/>
      <c r="J47" s="47"/>
      <c r="K47" s="47"/>
      <c r="L47" s="47"/>
      <c r="M47" s="47"/>
      <c r="N47" s="47"/>
      <c r="O47" s="47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109" t="str">
        <f>A47</f>
        <v>GARAGE MICHEL</v>
      </c>
      <c r="AB47" s="101">
        <f>B47-SUM(D47:Z47)</f>
        <v>668.63</v>
      </c>
    </row>
    <row r="48" spans="1:29" s="9" customFormat="1" ht="18.75" customHeight="1" thickBot="1" x14ac:dyDescent="0.4">
      <c r="A48" s="83"/>
      <c r="B48" s="94"/>
      <c r="C48" s="59" t="s">
        <v>1</v>
      </c>
      <c r="D48" s="36" t="s">
        <v>158</v>
      </c>
      <c r="E48" s="35" t="s">
        <v>163</v>
      </c>
      <c r="F48" s="35" t="s">
        <v>173</v>
      </c>
      <c r="G48" s="35" t="s">
        <v>185</v>
      </c>
      <c r="H48" s="35"/>
      <c r="I48" s="35"/>
      <c r="J48" s="35"/>
      <c r="K48" s="35"/>
      <c r="L48" s="35"/>
      <c r="M48" s="35"/>
      <c r="N48" s="35"/>
      <c r="O48" s="3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108"/>
      <c r="AB48" s="102"/>
      <c r="AC48" s="8"/>
    </row>
    <row r="49" spans="1:80" ht="18.75" customHeight="1" x14ac:dyDescent="0.35">
      <c r="A49" s="85" t="s">
        <v>11</v>
      </c>
      <c r="B49" s="96">
        <v>1877</v>
      </c>
      <c r="C49" s="61" t="s">
        <v>54</v>
      </c>
      <c r="D49" s="62">
        <v>6290</v>
      </c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110" t="str">
        <f>A49</f>
        <v>GARCIA SERVICE</v>
      </c>
      <c r="AB49" s="105">
        <f>B49-SUM(D49:Z49)</f>
        <v>-4413</v>
      </c>
      <c r="AC49" s="7"/>
    </row>
    <row r="50" spans="1:80" s="9" customFormat="1" ht="18.75" customHeight="1" thickBot="1" x14ac:dyDescent="0.4">
      <c r="A50" s="86"/>
      <c r="B50" s="97"/>
      <c r="C50" s="65" t="s">
        <v>1</v>
      </c>
      <c r="D50" s="66" t="s">
        <v>127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111"/>
      <c r="AB50" s="106"/>
      <c r="AC50" s="8"/>
    </row>
    <row r="51" spans="1:80" ht="18.75" customHeight="1" x14ac:dyDescent="0.35">
      <c r="A51" s="85" t="s">
        <v>45</v>
      </c>
      <c r="B51" s="96">
        <v>3003</v>
      </c>
      <c r="C51" s="61" t="s">
        <v>54</v>
      </c>
      <c r="D51" s="62">
        <v>461</v>
      </c>
      <c r="E51" s="63">
        <v>249.38</v>
      </c>
      <c r="F51" s="63">
        <v>5830</v>
      </c>
      <c r="G51" s="63"/>
      <c r="H51" s="63"/>
      <c r="I51" s="63"/>
      <c r="J51" s="63"/>
      <c r="K51" s="63"/>
      <c r="L51" s="63"/>
      <c r="M51" s="63"/>
      <c r="N51" s="63"/>
      <c r="O51" s="63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110" t="str">
        <f>A51</f>
        <v>GIGAMOTOR</v>
      </c>
      <c r="AB51" s="105">
        <f>B51-SUM(D51:Z51)</f>
        <v>-3537.38</v>
      </c>
      <c r="AC51" s="7"/>
    </row>
    <row r="52" spans="1:80" s="9" customFormat="1" ht="18.75" customHeight="1" thickBot="1" x14ac:dyDescent="0.4">
      <c r="A52" s="86"/>
      <c r="B52" s="97"/>
      <c r="C52" s="65" t="s">
        <v>1</v>
      </c>
      <c r="D52" s="66" t="s">
        <v>96</v>
      </c>
      <c r="E52" s="67" t="s">
        <v>128</v>
      </c>
      <c r="F52" s="67" t="s">
        <v>141</v>
      </c>
      <c r="G52" s="67"/>
      <c r="H52" s="67"/>
      <c r="I52" s="67"/>
      <c r="J52" s="67"/>
      <c r="K52" s="67"/>
      <c r="L52" s="67"/>
      <c r="M52" s="67"/>
      <c r="N52" s="67"/>
      <c r="O52" s="67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111"/>
      <c r="AB52" s="106"/>
      <c r="AC52" s="8"/>
    </row>
    <row r="53" spans="1:80" s="37" customFormat="1" ht="18.75" customHeight="1" x14ac:dyDescent="0.35">
      <c r="A53" s="85" t="s">
        <v>12</v>
      </c>
      <c r="B53" s="96">
        <v>6358</v>
      </c>
      <c r="C53" s="61" t="s">
        <v>54</v>
      </c>
      <c r="D53" s="62">
        <v>6358</v>
      </c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110" t="str">
        <f>A53</f>
        <v>GUAYTOR</v>
      </c>
      <c r="AB53" s="105">
        <f>B53-SUM(D53:Z53)</f>
        <v>0</v>
      </c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</row>
    <row r="54" spans="1:80" s="38" customFormat="1" ht="18.75" customHeight="1" thickBot="1" x14ac:dyDescent="0.4">
      <c r="A54" s="86"/>
      <c r="B54" s="97"/>
      <c r="C54" s="65" t="s">
        <v>1</v>
      </c>
      <c r="D54" s="66" t="s">
        <v>109</v>
      </c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111"/>
      <c r="AB54" s="106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</row>
    <row r="55" spans="1:80" ht="18.75" customHeight="1" x14ac:dyDescent="0.35">
      <c r="A55" s="85" t="s">
        <v>13</v>
      </c>
      <c r="B55" s="96">
        <v>2583</v>
      </c>
      <c r="C55" s="61" t="s">
        <v>54</v>
      </c>
      <c r="D55" s="62">
        <v>3671.11</v>
      </c>
      <c r="E55" s="63"/>
      <c r="F55" s="63"/>
      <c r="G55" s="63"/>
      <c r="H55" s="63"/>
      <c r="I55" s="63"/>
      <c r="J55" s="63"/>
      <c r="K55" s="63"/>
      <c r="L55" s="63"/>
      <c r="M55" s="63"/>
      <c r="N55" s="63"/>
      <c r="O55" s="63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110" t="str">
        <f>A55</f>
        <v>GUILLERMO</v>
      </c>
      <c r="AB55" s="105">
        <f>B55-SUM(D55:Z55)</f>
        <v>-1088.1100000000001</v>
      </c>
      <c r="AC55" s="7"/>
    </row>
    <row r="56" spans="1:80" s="9" customFormat="1" ht="18.75" customHeight="1" thickBot="1" x14ac:dyDescent="0.4">
      <c r="A56" s="86"/>
      <c r="B56" s="97"/>
      <c r="C56" s="65" t="s">
        <v>1</v>
      </c>
      <c r="D56" s="66" t="s">
        <v>195</v>
      </c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111"/>
      <c r="AB56" s="106"/>
      <c r="AC56" s="8"/>
    </row>
    <row r="57" spans="1:80" ht="18.75" customHeight="1" x14ac:dyDescent="0.35">
      <c r="A57" s="84" t="s">
        <v>46</v>
      </c>
      <c r="B57" s="95">
        <v>2308</v>
      </c>
      <c r="C57" s="45" t="s">
        <v>54</v>
      </c>
      <c r="D57" s="46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109" t="str">
        <f>A57</f>
        <v>IBINAUTCAR</v>
      </c>
      <c r="AB57" s="101">
        <f>B57-SUM(D57:Z57)</f>
        <v>2308</v>
      </c>
      <c r="AC57" s="7"/>
    </row>
    <row r="58" spans="1:80" s="9" customFormat="1" ht="18.75" customHeight="1" thickBot="1" x14ac:dyDescent="0.4">
      <c r="A58" s="83"/>
      <c r="B58" s="94"/>
      <c r="C58" s="59" t="s">
        <v>1</v>
      </c>
      <c r="D58" s="36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108"/>
      <c r="AB58" s="102"/>
      <c r="AC58" s="8"/>
    </row>
    <row r="59" spans="1:80" ht="18.75" customHeight="1" x14ac:dyDescent="0.35">
      <c r="A59" s="85" t="s">
        <v>15</v>
      </c>
      <c r="B59" s="96">
        <v>2204</v>
      </c>
      <c r="C59" s="61" t="s">
        <v>54</v>
      </c>
      <c r="D59" s="62">
        <v>2204</v>
      </c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110" t="str">
        <f>A59</f>
        <v>IVENS</v>
      </c>
      <c r="AB59" s="105">
        <f>B59-SUM(D59:Z59)</f>
        <v>0</v>
      </c>
      <c r="AC59" s="7"/>
    </row>
    <row r="60" spans="1:80" s="9" customFormat="1" ht="18.75" customHeight="1" thickBot="1" x14ac:dyDescent="0.4">
      <c r="A60" s="86"/>
      <c r="B60" s="97"/>
      <c r="C60" s="65" t="s">
        <v>1</v>
      </c>
      <c r="D60" s="66" t="s">
        <v>89</v>
      </c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111"/>
      <c r="AB60" s="106"/>
      <c r="AC60" s="8"/>
    </row>
    <row r="61" spans="1:80" s="1" customFormat="1" ht="18.75" customHeight="1" x14ac:dyDescent="0.35">
      <c r="A61" s="84" t="s">
        <v>16</v>
      </c>
      <c r="B61" s="95">
        <v>3415</v>
      </c>
      <c r="C61" s="45" t="s">
        <v>54</v>
      </c>
      <c r="D61" s="46">
        <v>47</v>
      </c>
      <c r="E61" s="47">
        <v>208</v>
      </c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109" t="str">
        <f>A61</f>
        <v>KASSMI</v>
      </c>
      <c r="AB61" s="101">
        <f>B61-SUM(D61:Z61)</f>
        <v>3160</v>
      </c>
    </row>
    <row r="62" spans="1:80" s="10" customFormat="1" ht="18.75" customHeight="1" thickBot="1" x14ac:dyDescent="0.4">
      <c r="A62" s="83"/>
      <c r="B62" s="94"/>
      <c r="C62" s="59" t="s">
        <v>1</v>
      </c>
      <c r="D62" s="36" t="s">
        <v>161</v>
      </c>
      <c r="E62" s="35" t="s">
        <v>162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108"/>
      <c r="AB62" s="102"/>
    </row>
    <row r="63" spans="1:80" ht="18.75" customHeight="1" x14ac:dyDescent="0.35">
      <c r="A63" s="84" t="s">
        <v>17</v>
      </c>
      <c r="B63" s="95">
        <v>2824</v>
      </c>
      <c r="C63" s="45" t="s">
        <v>54</v>
      </c>
      <c r="D63" s="46">
        <v>310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109" t="str">
        <f>A63</f>
        <v>LAVACAR</v>
      </c>
      <c r="AB63" s="101">
        <f>B63-SUM(D63:Z63)</f>
        <v>2514</v>
      </c>
      <c r="AC63" s="7"/>
    </row>
    <row r="64" spans="1:80" s="9" customFormat="1" ht="18.75" customHeight="1" thickBot="1" x14ac:dyDescent="0.4">
      <c r="A64" s="83"/>
      <c r="B64" s="94"/>
      <c r="C64" s="59" t="s">
        <v>1</v>
      </c>
      <c r="D64" s="36" t="s">
        <v>150</v>
      </c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108"/>
      <c r="AB64" s="102"/>
      <c r="AC64" s="8"/>
    </row>
    <row r="65" spans="1:29" ht="18.75" customHeight="1" x14ac:dyDescent="0.35">
      <c r="A65" s="87" t="s">
        <v>14</v>
      </c>
      <c r="B65" s="98">
        <v>2825</v>
      </c>
      <c r="C65" s="71" t="s">
        <v>54</v>
      </c>
      <c r="D65" s="72">
        <v>850</v>
      </c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112" t="str">
        <f>A65</f>
        <v>LE CERCLE</v>
      </c>
      <c r="AB65" s="103">
        <f>B65-SUM(D65:Z65)</f>
        <v>1975</v>
      </c>
      <c r="AC65" s="7"/>
    </row>
    <row r="66" spans="1:29" s="9" customFormat="1" ht="18.75" customHeight="1" thickBot="1" x14ac:dyDescent="0.4">
      <c r="A66" s="88"/>
      <c r="B66" s="99"/>
      <c r="C66" s="75" t="s">
        <v>1</v>
      </c>
      <c r="D66" s="76" t="s">
        <v>95</v>
      </c>
      <c r="E66" s="77" t="s">
        <v>121</v>
      </c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113"/>
      <c r="AB66" s="104"/>
      <c r="AC66" s="8"/>
    </row>
    <row r="67" spans="1:29" ht="18.75" customHeight="1" x14ac:dyDescent="0.35">
      <c r="A67" s="85" t="s">
        <v>18</v>
      </c>
      <c r="B67" s="96">
        <v>2730</v>
      </c>
      <c r="C67" s="61" t="s">
        <v>54</v>
      </c>
      <c r="D67" s="62">
        <v>30.51</v>
      </c>
      <c r="E67" s="63">
        <v>3217.28</v>
      </c>
      <c r="F67" s="63"/>
      <c r="G67" s="63"/>
      <c r="H67" s="63"/>
      <c r="I67" s="63"/>
      <c r="J67" s="63"/>
      <c r="K67" s="63"/>
      <c r="L67" s="63"/>
      <c r="M67" s="63"/>
      <c r="N67" s="63"/>
      <c r="O67" s="63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110" t="str">
        <f>A67</f>
        <v>LECHAB</v>
      </c>
      <c r="AB67" s="105">
        <f>B67-SUM(D67:Z67)</f>
        <v>-517.79000000000042</v>
      </c>
      <c r="AC67" s="7"/>
    </row>
    <row r="68" spans="1:29" s="9" customFormat="1" ht="18.75" customHeight="1" thickBot="1" x14ac:dyDescent="0.4">
      <c r="A68" s="86"/>
      <c r="B68" s="97"/>
      <c r="C68" s="65" t="s">
        <v>1</v>
      </c>
      <c r="D68" s="66" t="s">
        <v>160</v>
      </c>
      <c r="E68" s="67" t="s">
        <v>182</v>
      </c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111"/>
      <c r="AB68" s="106"/>
      <c r="AC68" s="8"/>
    </row>
    <row r="69" spans="1:29" ht="18.75" customHeight="1" x14ac:dyDescent="0.35">
      <c r="A69" s="85" t="s">
        <v>19</v>
      </c>
      <c r="B69" s="96">
        <v>2847</v>
      </c>
      <c r="C69" s="61" t="s">
        <v>54</v>
      </c>
      <c r="D69" s="62">
        <v>6490</v>
      </c>
      <c r="E69" s="63"/>
      <c r="F69" s="63"/>
      <c r="G69" s="63"/>
      <c r="H69" s="63"/>
      <c r="I69" s="63"/>
      <c r="J69" s="63"/>
      <c r="K69" s="63"/>
      <c r="L69" s="63"/>
      <c r="M69" s="63"/>
      <c r="N69" s="63"/>
      <c r="O69" s="63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110" t="str">
        <f>A69</f>
        <v>MANOLO</v>
      </c>
      <c r="AB69" s="105">
        <f>B69-SUM(D69:Z69)</f>
        <v>-3643</v>
      </c>
      <c r="AC69" s="7"/>
    </row>
    <row r="70" spans="1:29" s="9" customFormat="1" ht="18.75" customHeight="1" thickBot="1" x14ac:dyDescent="0.4">
      <c r="A70" s="86"/>
      <c r="B70" s="97"/>
      <c r="C70" s="65" t="s">
        <v>1</v>
      </c>
      <c r="D70" s="66" t="s">
        <v>74</v>
      </c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111"/>
      <c r="AB70" s="106"/>
      <c r="AC70" s="8"/>
    </row>
    <row r="71" spans="1:29" ht="18.75" customHeight="1" x14ac:dyDescent="0.35">
      <c r="A71" s="85" t="s">
        <v>65</v>
      </c>
      <c r="B71" s="96">
        <v>1009</v>
      </c>
      <c r="C71" s="61" t="s">
        <v>54</v>
      </c>
      <c r="D71" s="62">
        <v>3590</v>
      </c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110" t="str">
        <f>A71</f>
        <v>MARCELO LUIS SERRA</v>
      </c>
      <c r="AB71" s="105">
        <f>B71-SUM(D71:Z71)</f>
        <v>-2581</v>
      </c>
      <c r="AC71" s="7"/>
    </row>
    <row r="72" spans="1:29" s="9" customFormat="1" ht="18.75" customHeight="1" thickBot="1" x14ac:dyDescent="0.4">
      <c r="A72" s="86"/>
      <c r="B72" s="97"/>
      <c r="C72" s="65" t="s">
        <v>1</v>
      </c>
      <c r="D72" s="66" t="s">
        <v>111</v>
      </c>
      <c r="E72" s="67"/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111"/>
      <c r="AB72" s="106"/>
      <c r="AC72" s="8"/>
    </row>
    <row r="73" spans="1:29" ht="18.75" customHeight="1" x14ac:dyDescent="0.35">
      <c r="A73" s="84" t="s">
        <v>47</v>
      </c>
      <c r="B73" s="95">
        <v>3982</v>
      </c>
      <c r="C73" s="45" t="s">
        <v>54</v>
      </c>
      <c r="D73" s="46">
        <v>899</v>
      </c>
      <c r="E73" s="47">
        <v>221</v>
      </c>
      <c r="F73" s="47">
        <v>184.95</v>
      </c>
      <c r="G73" s="47">
        <v>151</v>
      </c>
      <c r="H73" s="47">
        <v>811</v>
      </c>
      <c r="I73" s="47"/>
      <c r="J73" s="47"/>
      <c r="K73" s="47"/>
      <c r="L73" s="47"/>
      <c r="M73" s="47"/>
      <c r="N73" s="47"/>
      <c r="O73" s="47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109" t="str">
        <f>A73</f>
        <v>MARCOS MONTES</v>
      </c>
      <c r="AB73" s="101">
        <f>B73-SUM(D73:Z73)</f>
        <v>1715.0500000000002</v>
      </c>
      <c r="AC73" s="7"/>
    </row>
    <row r="74" spans="1:29" s="9" customFormat="1" ht="18.75" customHeight="1" thickBot="1" x14ac:dyDescent="0.4">
      <c r="A74" s="83"/>
      <c r="B74" s="94"/>
      <c r="C74" s="59" t="s">
        <v>1</v>
      </c>
      <c r="D74" s="36" t="s">
        <v>80</v>
      </c>
      <c r="E74" s="35" t="s">
        <v>79</v>
      </c>
      <c r="F74" s="35" t="s">
        <v>84</v>
      </c>
      <c r="G74" s="35" t="s">
        <v>92</v>
      </c>
      <c r="H74" s="35" t="s">
        <v>139</v>
      </c>
      <c r="I74" s="35"/>
      <c r="J74" s="35"/>
      <c r="K74" s="35"/>
      <c r="L74" s="35"/>
      <c r="M74" s="35"/>
      <c r="N74" s="35"/>
      <c r="O74" s="3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108"/>
      <c r="AB74" s="102"/>
      <c r="AC74" s="8"/>
    </row>
    <row r="75" spans="1:29" s="1" customFormat="1" ht="18.75" customHeight="1" x14ac:dyDescent="0.35">
      <c r="A75" s="84" t="s">
        <v>20</v>
      </c>
      <c r="B75" s="95">
        <v>4226</v>
      </c>
      <c r="C75" s="45" t="s">
        <v>54</v>
      </c>
      <c r="D75" s="47">
        <v>197</v>
      </c>
      <c r="E75" s="47">
        <v>550</v>
      </c>
      <c r="F75" s="47">
        <v>125.06</v>
      </c>
      <c r="G75" s="47">
        <v>262.77</v>
      </c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8"/>
      <c r="S75" s="48"/>
      <c r="T75" s="48"/>
      <c r="U75" s="48"/>
      <c r="V75" s="48"/>
      <c r="W75" s="48"/>
      <c r="X75" s="48"/>
      <c r="Y75" s="48"/>
      <c r="Z75" s="48"/>
      <c r="AA75" s="109" t="str">
        <f>A75</f>
        <v>MARI BALAFIA</v>
      </c>
      <c r="AB75" s="101">
        <f>B75-SUM(D75:Z75)</f>
        <v>3091.17</v>
      </c>
    </row>
    <row r="76" spans="1:29" s="10" customFormat="1" ht="18.75" customHeight="1" thickBot="1" x14ac:dyDescent="0.4">
      <c r="A76" s="83"/>
      <c r="B76" s="94"/>
      <c r="C76" s="59" t="s">
        <v>1</v>
      </c>
      <c r="D76" s="36" t="s">
        <v>132</v>
      </c>
      <c r="E76" s="35" t="s">
        <v>143</v>
      </c>
      <c r="F76" s="35" t="s">
        <v>168</v>
      </c>
      <c r="G76" s="35" t="s">
        <v>174</v>
      </c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55"/>
      <c r="S76" s="55"/>
      <c r="T76" s="55"/>
      <c r="U76" s="55"/>
      <c r="V76" s="55"/>
      <c r="W76" s="55"/>
      <c r="X76" s="55"/>
      <c r="Y76" s="55"/>
      <c r="Z76" s="55"/>
      <c r="AA76" s="108"/>
      <c r="AB76" s="102"/>
    </row>
    <row r="77" spans="1:29" ht="18.75" customHeight="1" x14ac:dyDescent="0.35">
      <c r="A77" s="85" t="s">
        <v>21</v>
      </c>
      <c r="B77" s="96">
        <v>1885</v>
      </c>
      <c r="C77" s="61" t="s">
        <v>54</v>
      </c>
      <c r="D77" s="62">
        <v>1885</v>
      </c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110" t="str">
        <f>A77</f>
        <v>MARINES</v>
      </c>
      <c r="AB77" s="105">
        <f>B77-SUM(D77:Z77)</f>
        <v>0</v>
      </c>
      <c r="AC77" s="7"/>
    </row>
    <row r="78" spans="1:29" s="9" customFormat="1" ht="18.75" customHeight="1" thickBot="1" x14ac:dyDescent="0.4">
      <c r="A78" s="86"/>
      <c r="B78" s="97"/>
      <c r="C78" s="65" t="s">
        <v>1</v>
      </c>
      <c r="D78" s="66" t="s">
        <v>93</v>
      </c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111"/>
      <c r="AB78" s="106"/>
      <c r="AC78" s="8"/>
    </row>
    <row r="79" spans="1:29" ht="18.75" customHeight="1" x14ac:dyDescent="0.35">
      <c r="A79" s="84" t="s">
        <v>48</v>
      </c>
      <c r="B79" s="95">
        <v>594</v>
      </c>
      <c r="C79" s="45" t="s">
        <v>54</v>
      </c>
      <c r="D79" s="46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109" t="str">
        <f>A79</f>
        <v>MIGUEL ANGELO SILVA MARQUEZ</v>
      </c>
      <c r="AB79" s="101">
        <f>B79-SUM(D79:Z79)</f>
        <v>594</v>
      </c>
      <c r="AC79" s="7"/>
    </row>
    <row r="80" spans="1:29" s="9" customFormat="1" ht="18.75" customHeight="1" thickBot="1" x14ac:dyDescent="0.4">
      <c r="A80" s="83"/>
      <c r="B80" s="94"/>
      <c r="C80" s="59" t="s">
        <v>1</v>
      </c>
      <c r="D80" s="36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108"/>
      <c r="AB80" s="102"/>
      <c r="AC80" s="8"/>
    </row>
    <row r="81" spans="1:145" ht="18.75" customHeight="1" x14ac:dyDescent="0.35">
      <c r="A81" s="85" t="s">
        <v>64</v>
      </c>
      <c r="B81" s="96">
        <v>1959</v>
      </c>
      <c r="C81" s="61" t="s">
        <v>54</v>
      </c>
      <c r="D81" s="62">
        <v>219</v>
      </c>
      <c r="E81" s="63">
        <v>850</v>
      </c>
      <c r="F81" s="63">
        <v>1140</v>
      </c>
      <c r="G81" s="63"/>
      <c r="H81" s="63"/>
      <c r="I81" s="63"/>
      <c r="J81" s="63"/>
      <c r="K81" s="63"/>
      <c r="L81" s="63"/>
      <c r="M81" s="63"/>
      <c r="N81" s="63"/>
      <c r="O81" s="63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110" t="str">
        <f>A81</f>
        <v>MOTOR 34</v>
      </c>
      <c r="AB81" s="105">
        <f>B81-SUM(D81:Z81)</f>
        <v>-250</v>
      </c>
      <c r="AC81" s="7"/>
    </row>
    <row r="82" spans="1:145" s="9" customFormat="1" ht="18.75" customHeight="1" thickBot="1" x14ac:dyDescent="0.4">
      <c r="A82" s="86"/>
      <c r="B82" s="97"/>
      <c r="C82" s="65" t="s">
        <v>1</v>
      </c>
      <c r="D82" s="66" t="s">
        <v>82</v>
      </c>
      <c r="E82" s="67" t="s">
        <v>120</v>
      </c>
      <c r="F82" s="67" t="s">
        <v>136</v>
      </c>
      <c r="G82" s="67"/>
      <c r="H82" s="67"/>
      <c r="I82" s="67"/>
      <c r="J82" s="67"/>
      <c r="K82" s="67"/>
      <c r="L82" s="67"/>
      <c r="M82" s="67"/>
      <c r="N82" s="67"/>
      <c r="O82" s="67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111"/>
      <c r="AB82" s="106"/>
      <c r="AC82" s="8"/>
    </row>
    <row r="83" spans="1:145" ht="18.75" customHeight="1" x14ac:dyDescent="0.35">
      <c r="A83" s="84" t="s">
        <v>49</v>
      </c>
      <c r="B83" s="95">
        <v>5029</v>
      </c>
      <c r="C83" s="45" t="s">
        <v>54</v>
      </c>
      <c r="D83" s="46">
        <v>403.72</v>
      </c>
      <c r="E83" s="47">
        <v>395</v>
      </c>
      <c r="F83" s="47">
        <v>24.8</v>
      </c>
      <c r="G83" s="47">
        <v>309.25</v>
      </c>
      <c r="H83" s="47">
        <v>19.66</v>
      </c>
      <c r="I83" s="47">
        <v>96.95</v>
      </c>
      <c r="J83" s="47">
        <v>247.4</v>
      </c>
      <c r="K83" s="47">
        <v>12</v>
      </c>
      <c r="L83" s="47">
        <v>77.900000000000006</v>
      </c>
      <c r="M83" s="47">
        <v>109</v>
      </c>
      <c r="N83" s="47">
        <v>480</v>
      </c>
      <c r="O83" s="47">
        <v>160</v>
      </c>
      <c r="P83" s="48">
        <v>-109</v>
      </c>
      <c r="Q83" s="48">
        <v>56.42</v>
      </c>
      <c r="R83" s="48"/>
      <c r="S83" s="48"/>
      <c r="T83" s="48"/>
      <c r="U83" s="48"/>
      <c r="V83" s="48"/>
      <c r="W83" s="48"/>
      <c r="X83" s="48"/>
      <c r="Y83" s="48"/>
      <c r="Z83" s="48"/>
      <c r="AA83" s="109" t="str">
        <f>A83</f>
        <v>MOTOR SAN ANTONIO</v>
      </c>
      <c r="AB83" s="101">
        <f>B83-SUM(D83:Z83)</f>
        <v>2745.8999999999996</v>
      </c>
      <c r="AC83" s="7"/>
    </row>
    <row r="84" spans="1:145" s="9" customFormat="1" ht="18.75" customHeight="1" thickBot="1" x14ac:dyDescent="0.4">
      <c r="A84" s="83"/>
      <c r="B84" s="94"/>
      <c r="C84" s="80" t="s">
        <v>1</v>
      </c>
      <c r="D84" s="36" t="s">
        <v>76</v>
      </c>
      <c r="E84" s="35" t="s">
        <v>85</v>
      </c>
      <c r="F84" s="35" t="s">
        <v>87</v>
      </c>
      <c r="G84" s="35" t="s">
        <v>106</v>
      </c>
      <c r="H84" s="35" t="s">
        <v>124</v>
      </c>
      <c r="I84" s="35" t="s">
        <v>130</v>
      </c>
      <c r="J84" s="35" t="s">
        <v>151</v>
      </c>
      <c r="K84" s="35" t="s">
        <v>159</v>
      </c>
      <c r="L84" s="35" t="s">
        <v>178</v>
      </c>
      <c r="M84" s="35" t="s">
        <v>181</v>
      </c>
      <c r="N84" s="35" t="s">
        <v>186</v>
      </c>
      <c r="O84" s="35" t="s">
        <v>192</v>
      </c>
      <c r="P84" s="55" t="s">
        <v>196</v>
      </c>
      <c r="Q84" s="55" t="s">
        <v>197</v>
      </c>
      <c r="R84" s="55"/>
      <c r="S84" s="55"/>
      <c r="T84" s="55"/>
      <c r="U84" s="55"/>
      <c r="V84" s="55"/>
      <c r="W84" s="55"/>
      <c r="X84" s="55"/>
      <c r="Y84" s="55"/>
      <c r="Z84" s="55"/>
      <c r="AA84" s="108"/>
      <c r="AB84" s="102"/>
      <c r="AC84" s="8"/>
    </row>
    <row r="85" spans="1:145" ht="18.75" customHeight="1" x14ac:dyDescent="0.35">
      <c r="A85" s="84" t="s">
        <v>23</v>
      </c>
      <c r="B85" s="95">
        <v>2568</v>
      </c>
      <c r="C85" s="45" t="s">
        <v>54</v>
      </c>
      <c r="D85" s="46">
        <v>318.95</v>
      </c>
      <c r="E85" s="47">
        <v>29.95</v>
      </c>
      <c r="F85" s="47">
        <v>265</v>
      </c>
      <c r="G85" s="47">
        <v>1279</v>
      </c>
      <c r="H85" s="47"/>
      <c r="I85" s="47"/>
      <c r="J85" s="47"/>
      <c r="K85" s="47"/>
      <c r="L85" s="47"/>
      <c r="M85" s="47"/>
      <c r="N85" s="47"/>
      <c r="O85" s="47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109" t="str">
        <f>A85</f>
        <v>MOTOS SAN JOSE</v>
      </c>
      <c r="AB85" s="101">
        <f>B85-SUM(D85:Z85)</f>
        <v>675.09999999999991</v>
      </c>
      <c r="AC85" s="7"/>
    </row>
    <row r="86" spans="1:145" s="9" customFormat="1" ht="18.75" customHeight="1" thickBot="1" x14ac:dyDescent="0.4">
      <c r="A86" s="83"/>
      <c r="B86" s="94"/>
      <c r="C86" s="59" t="s">
        <v>1</v>
      </c>
      <c r="D86" s="36" t="s">
        <v>101</v>
      </c>
      <c r="E86" s="35" t="s">
        <v>114</v>
      </c>
      <c r="F86" s="35" t="s">
        <v>154</v>
      </c>
      <c r="G86" s="35" t="s">
        <v>180</v>
      </c>
      <c r="H86" s="35"/>
      <c r="I86" s="35"/>
      <c r="J86" s="35"/>
      <c r="K86" s="35"/>
      <c r="L86" s="35"/>
      <c r="M86" s="35"/>
      <c r="N86" s="35"/>
      <c r="O86" s="3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108"/>
      <c r="AB86" s="102"/>
      <c r="AC86" s="8"/>
    </row>
    <row r="87" spans="1:145" ht="18.75" customHeight="1" x14ac:dyDescent="0.35">
      <c r="A87" s="84" t="s">
        <v>22</v>
      </c>
      <c r="B87" s="95">
        <v>2803</v>
      </c>
      <c r="C87" s="45" t="s">
        <v>54</v>
      </c>
      <c r="D87" s="46">
        <v>1613.72</v>
      </c>
      <c r="E87" s="47">
        <v>850</v>
      </c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109" t="str">
        <f>A87</f>
        <v>MOVIL SANTA EULALIA</v>
      </c>
      <c r="AB87" s="101">
        <f>B87-SUM(D87:Z87)</f>
        <v>339.27999999999975</v>
      </c>
      <c r="AC87" s="7"/>
    </row>
    <row r="88" spans="1:145" s="9" customFormat="1" ht="18.75" customHeight="1" thickBot="1" x14ac:dyDescent="0.4">
      <c r="A88" s="83"/>
      <c r="B88" s="94"/>
      <c r="C88" s="59" t="s">
        <v>1</v>
      </c>
      <c r="D88" s="36" t="s">
        <v>81</v>
      </c>
      <c r="E88" s="35" t="s">
        <v>145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108"/>
      <c r="AB88" s="102"/>
      <c r="AC88" s="8"/>
    </row>
    <row r="89" spans="1:145" s="1" customFormat="1" ht="18.75" customHeight="1" x14ac:dyDescent="0.35">
      <c r="A89" s="85" t="s">
        <v>24</v>
      </c>
      <c r="B89" s="96">
        <v>2473</v>
      </c>
      <c r="C89" s="61" t="s">
        <v>54</v>
      </c>
      <c r="D89" s="62">
        <v>2473</v>
      </c>
      <c r="E89" s="63"/>
      <c r="F89" s="63"/>
      <c r="G89" s="63"/>
      <c r="H89" s="63"/>
      <c r="I89" s="63"/>
      <c r="J89" s="63"/>
      <c r="K89" s="63"/>
      <c r="L89" s="63"/>
      <c r="M89" s="63"/>
      <c r="N89" s="63"/>
      <c r="O89" s="63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  <c r="AA89" s="110" t="str">
        <f>A89</f>
        <v>MULTICAR SERVICE</v>
      </c>
      <c r="AB89" s="105">
        <f>B89-SUM(D89:Z89)</f>
        <v>0</v>
      </c>
    </row>
    <row r="90" spans="1:145" s="10" customFormat="1" ht="18.75" customHeight="1" thickBot="1" x14ac:dyDescent="0.4">
      <c r="A90" s="86"/>
      <c r="B90" s="97"/>
      <c r="C90" s="65" t="s">
        <v>1</v>
      </c>
      <c r="D90" s="66" t="s">
        <v>109</v>
      </c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7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111"/>
      <c r="AB90" s="106"/>
    </row>
    <row r="91" spans="1:145" s="1" customFormat="1" ht="18.75" customHeight="1" x14ac:dyDescent="0.35">
      <c r="A91" s="85" t="s">
        <v>25</v>
      </c>
      <c r="B91" s="96">
        <v>934</v>
      </c>
      <c r="C91" s="61" t="s">
        <v>54</v>
      </c>
      <c r="D91" s="62">
        <v>934</v>
      </c>
      <c r="E91" s="63"/>
      <c r="F91" s="63"/>
      <c r="G91" s="63"/>
      <c r="H91" s="63"/>
      <c r="I91" s="63"/>
      <c r="J91" s="63"/>
      <c r="K91" s="63"/>
      <c r="L91" s="63"/>
      <c r="M91" s="63"/>
      <c r="N91" s="63"/>
      <c r="O91" s="63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110" t="str">
        <f>A91</f>
        <v>PETAXEL</v>
      </c>
      <c r="AB91" s="105">
        <f>B91-SUM(D91:Z91)</f>
        <v>0</v>
      </c>
    </row>
    <row r="92" spans="1:145" s="9" customFormat="1" ht="18.75" customHeight="1" thickBot="1" x14ac:dyDescent="0.4">
      <c r="A92" s="86"/>
      <c r="B92" s="97"/>
      <c r="C92" s="65" t="s">
        <v>1</v>
      </c>
      <c r="D92" s="66" t="s">
        <v>133</v>
      </c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111"/>
      <c r="AB92" s="106"/>
      <c r="AC92" s="8"/>
    </row>
    <row r="93" spans="1:145" ht="18.75" customHeight="1" x14ac:dyDescent="0.35">
      <c r="A93" s="84" t="s">
        <v>26</v>
      </c>
      <c r="B93" s="95">
        <v>4678</v>
      </c>
      <c r="C93" s="45" t="s">
        <v>54</v>
      </c>
      <c r="D93" s="46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109" t="str">
        <f>A93</f>
        <v>POLL</v>
      </c>
      <c r="AB93" s="101">
        <f>B93-SUM(D93:Z93)</f>
        <v>4678</v>
      </c>
      <c r="AC93" s="7"/>
    </row>
    <row r="94" spans="1:145" s="9" customFormat="1" ht="18.75" customHeight="1" thickBot="1" x14ac:dyDescent="0.4">
      <c r="A94" s="83"/>
      <c r="B94" s="94"/>
      <c r="C94" s="59" t="s">
        <v>1</v>
      </c>
      <c r="D94" s="36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108"/>
      <c r="AB94" s="102"/>
      <c r="AC94" s="8"/>
    </row>
    <row r="95" spans="1:145" s="33" customFormat="1" ht="18.75" customHeight="1" x14ac:dyDescent="0.35">
      <c r="A95" s="84" t="s">
        <v>27</v>
      </c>
      <c r="B95" s="95">
        <v>2991</v>
      </c>
      <c r="C95" s="45" t="s">
        <v>54</v>
      </c>
      <c r="D95" s="46">
        <v>129.12</v>
      </c>
      <c r="E95" s="47">
        <v>162.13999999999999</v>
      </c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109" t="str">
        <f>A95</f>
        <v>PORTINATX</v>
      </c>
      <c r="AB95" s="101">
        <f>B95-SUM(D95:Z95)</f>
        <v>2699.74</v>
      </c>
      <c r="AC95" s="49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50"/>
      <c r="BQ95" s="50"/>
      <c r="BR95" s="50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  <c r="CQ95" s="50"/>
      <c r="CR95" s="50"/>
      <c r="CS95" s="50"/>
      <c r="CT95" s="50"/>
      <c r="CU95" s="50"/>
      <c r="CV95" s="50"/>
      <c r="CW95" s="50"/>
      <c r="CX95" s="50"/>
      <c r="CY95" s="50"/>
      <c r="CZ95" s="50"/>
      <c r="DA95" s="50"/>
      <c r="DB95" s="50"/>
      <c r="DC95" s="50"/>
      <c r="DD95" s="50"/>
      <c r="DE95" s="50"/>
      <c r="DF95" s="50"/>
      <c r="DG95" s="50"/>
      <c r="DH95" s="50"/>
      <c r="DI95" s="50"/>
      <c r="DJ95" s="50"/>
      <c r="DK95" s="50"/>
      <c r="DL95" s="50"/>
      <c r="DM95" s="50"/>
      <c r="DN95" s="50"/>
      <c r="DO95" s="50"/>
      <c r="DP95" s="50"/>
      <c r="DQ95" s="50"/>
      <c r="DR95" s="50"/>
      <c r="DS95" s="50"/>
      <c r="DT95" s="50"/>
      <c r="DU95" s="50"/>
      <c r="DV95" s="50"/>
      <c r="DW95" s="50"/>
      <c r="DX95" s="50"/>
      <c r="DY95" s="50"/>
      <c r="DZ95" s="50"/>
      <c r="EA95" s="50"/>
      <c r="EB95" s="50"/>
      <c r="EC95" s="50"/>
      <c r="ED95" s="50"/>
      <c r="EE95" s="50"/>
      <c r="EF95" s="50"/>
      <c r="EG95" s="50"/>
      <c r="EH95" s="50"/>
      <c r="EI95" s="50"/>
      <c r="EJ95" s="50"/>
      <c r="EK95" s="50"/>
      <c r="EL95" s="50"/>
      <c r="EM95" s="50"/>
      <c r="EN95" s="50"/>
      <c r="EO95" s="50"/>
    </row>
    <row r="96" spans="1:145" s="34" customFormat="1" ht="18.75" customHeight="1" thickBot="1" x14ac:dyDescent="0.4">
      <c r="A96" s="83"/>
      <c r="B96" s="94"/>
      <c r="C96" s="59" t="s">
        <v>1</v>
      </c>
      <c r="D96" s="36" t="s">
        <v>170</v>
      </c>
      <c r="E96" s="35" t="s">
        <v>171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108"/>
      <c r="AB96" s="102"/>
      <c r="AC96" s="51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/>
      <c r="CB96" s="52"/>
      <c r="CC96" s="52"/>
      <c r="CD96" s="52"/>
      <c r="CE96" s="52"/>
      <c r="CF96" s="52"/>
      <c r="CG96" s="52"/>
      <c r="CH96" s="52"/>
      <c r="CI96" s="52"/>
      <c r="CJ96" s="52"/>
      <c r="CK96" s="52"/>
      <c r="CL96" s="52"/>
      <c r="CM96" s="52"/>
      <c r="CN96" s="52"/>
      <c r="CO96" s="52"/>
      <c r="CP96" s="52"/>
      <c r="CQ96" s="52"/>
      <c r="CR96" s="52"/>
      <c r="CS96" s="52"/>
      <c r="CT96" s="52"/>
      <c r="CU96" s="52"/>
      <c r="CV96" s="52"/>
      <c r="CW96" s="52"/>
      <c r="CX96" s="52"/>
      <c r="CY96" s="52"/>
      <c r="CZ96" s="52"/>
      <c r="DA96" s="52"/>
      <c r="DB96" s="52"/>
      <c r="DC96" s="52"/>
      <c r="DD96" s="52"/>
      <c r="DE96" s="52"/>
      <c r="DF96" s="52"/>
      <c r="DG96" s="52"/>
      <c r="DH96" s="52"/>
      <c r="DI96" s="52"/>
      <c r="DJ96" s="52"/>
      <c r="DK96" s="52"/>
      <c r="DL96" s="52"/>
      <c r="DM96" s="52"/>
      <c r="DN96" s="52"/>
      <c r="DO96" s="52"/>
      <c r="DP96" s="52"/>
      <c r="DQ96" s="52"/>
      <c r="DR96" s="52"/>
      <c r="DS96" s="52"/>
      <c r="DT96" s="52"/>
      <c r="DU96" s="52"/>
      <c r="DV96" s="52"/>
      <c r="DW96" s="52"/>
      <c r="DX96" s="52"/>
      <c r="DY96" s="52"/>
      <c r="DZ96" s="52"/>
      <c r="EA96" s="52"/>
      <c r="EB96" s="52"/>
      <c r="EC96" s="52"/>
      <c r="ED96" s="52"/>
      <c r="EE96" s="52"/>
      <c r="EF96" s="52"/>
      <c r="EG96" s="52"/>
      <c r="EH96" s="52"/>
      <c r="EI96" s="52"/>
      <c r="EJ96" s="52"/>
      <c r="EK96" s="52"/>
      <c r="EL96" s="52"/>
      <c r="EM96" s="52"/>
      <c r="EN96" s="52"/>
      <c r="EO96" s="52"/>
    </row>
    <row r="97" spans="1:145" ht="18.75" customHeight="1" x14ac:dyDescent="0.35">
      <c r="A97" s="84" t="s">
        <v>50</v>
      </c>
      <c r="B97" s="95">
        <v>0</v>
      </c>
      <c r="C97" s="45" t="s">
        <v>54</v>
      </c>
      <c r="D97" s="46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109" t="str">
        <f>A97</f>
        <v>QUICK</v>
      </c>
      <c r="AB97" s="101">
        <f>B97-SUM(D97:Z97)</f>
        <v>0</v>
      </c>
      <c r="AC97" s="49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50"/>
      <c r="BQ97" s="50"/>
      <c r="BR97" s="50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  <c r="CQ97" s="50"/>
      <c r="CR97" s="50"/>
      <c r="CS97" s="50"/>
      <c r="CT97" s="50"/>
      <c r="CU97" s="50"/>
      <c r="CV97" s="50"/>
      <c r="CW97" s="50"/>
      <c r="CX97" s="50"/>
      <c r="CY97" s="50"/>
      <c r="CZ97" s="50"/>
      <c r="DA97" s="50"/>
      <c r="DB97" s="50"/>
      <c r="DC97" s="50"/>
      <c r="DD97" s="50"/>
      <c r="DE97" s="50"/>
      <c r="DF97" s="50"/>
      <c r="DG97" s="50"/>
      <c r="DH97" s="50"/>
      <c r="DI97" s="50"/>
      <c r="DJ97" s="50"/>
      <c r="DK97" s="50"/>
      <c r="DL97" s="50"/>
      <c r="DM97" s="50"/>
      <c r="DN97" s="50"/>
      <c r="DO97" s="50"/>
      <c r="DP97" s="50"/>
      <c r="DQ97" s="50"/>
      <c r="DR97" s="50"/>
      <c r="DS97" s="50"/>
      <c r="DT97" s="50"/>
      <c r="DU97" s="50"/>
      <c r="DV97" s="50"/>
      <c r="DW97" s="50"/>
      <c r="DX97" s="50"/>
      <c r="DY97" s="50"/>
      <c r="DZ97" s="50"/>
      <c r="EA97" s="50"/>
      <c r="EB97" s="50"/>
      <c r="EC97" s="50"/>
      <c r="ED97" s="50"/>
      <c r="EE97" s="50"/>
      <c r="EF97" s="50"/>
      <c r="EG97" s="50"/>
      <c r="EH97" s="50"/>
      <c r="EI97" s="50"/>
      <c r="EJ97" s="50"/>
      <c r="EK97" s="50"/>
      <c r="EL97" s="50"/>
      <c r="EM97" s="50"/>
      <c r="EN97" s="50"/>
      <c r="EO97" s="50"/>
    </row>
    <row r="98" spans="1:145" s="9" customFormat="1" ht="18.75" customHeight="1" thickBot="1" x14ac:dyDescent="0.4">
      <c r="A98" s="83"/>
      <c r="B98" s="94"/>
      <c r="C98" s="59" t="s">
        <v>1</v>
      </c>
      <c r="D98" s="36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108"/>
      <c r="AB98" s="102"/>
      <c r="AC98" s="51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/>
      <c r="CB98" s="52"/>
      <c r="CC98" s="52"/>
      <c r="CD98" s="52"/>
      <c r="CE98" s="52"/>
      <c r="CF98" s="52"/>
      <c r="CG98" s="52"/>
      <c r="CH98" s="52"/>
      <c r="CI98" s="52"/>
      <c r="CJ98" s="52"/>
      <c r="CK98" s="52"/>
      <c r="CL98" s="52"/>
      <c r="CM98" s="52"/>
      <c r="CN98" s="52"/>
      <c r="CO98" s="52"/>
      <c r="CP98" s="52"/>
      <c r="CQ98" s="52"/>
      <c r="CR98" s="52"/>
      <c r="CS98" s="52"/>
      <c r="CT98" s="52"/>
      <c r="CU98" s="52"/>
      <c r="CV98" s="52"/>
      <c r="CW98" s="52"/>
      <c r="CX98" s="52"/>
      <c r="CY98" s="52"/>
      <c r="CZ98" s="52"/>
      <c r="DA98" s="52"/>
      <c r="DB98" s="52"/>
      <c r="DC98" s="52"/>
      <c r="DD98" s="52"/>
      <c r="DE98" s="52"/>
      <c r="DF98" s="52"/>
      <c r="DG98" s="52"/>
      <c r="DH98" s="52"/>
      <c r="DI98" s="52"/>
      <c r="DJ98" s="52"/>
      <c r="DK98" s="52"/>
      <c r="DL98" s="52"/>
      <c r="DM98" s="52"/>
      <c r="DN98" s="52"/>
      <c r="DO98" s="52"/>
      <c r="DP98" s="52"/>
      <c r="DQ98" s="52"/>
      <c r="DR98" s="52"/>
      <c r="DS98" s="52"/>
      <c r="DT98" s="52"/>
      <c r="DU98" s="52"/>
      <c r="DV98" s="52"/>
      <c r="DW98" s="52"/>
      <c r="DX98" s="52"/>
      <c r="DY98" s="52"/>
      <c r="DZ98" s="52"/>
      <c r="EA98" s="52"/>
      <c r="EB98" s="52"/>
      <c r="EC98" s="52"/>
      <c r="ED98" s="52"/>
      <c r="EE98" s="52"/>
      <c r="EF98" s="52"/>
      <c r="EG98" s="52"/>
      <c r="EH98" s="52"/>
      <c r="EI98" s="52"/>
      <c r="EJ98" s="52"/>
      <c r="EK98" s="52"/>
      <c r="EL98" s="52"/>
      <c r="EM98" s="52"/>
      <c r="EN98" s="52"/>
      <c r="EO98" s="52"/>
    </row>
    <row r="99" spans="1:145" s="39" customFormat="1" ht="18.75" customHeight="1" x14ac:dyDescent="0.35">
      <c r="A99" s="84" t="s">
        <v>68</v>
      </c>
      <c r="B99" s="95">
        <v>831</v>
      </c>
      <c r="C99" s="45" t="s">
        <v>54</v>
      </c>
      <c r="D99" s="46">
        <v>91.15</v>
      </c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109" t="str">
        <f>A99</f>
        <v>REPARAUTO</v>
      </c>
      <c r="AB99" s="101">
        <f>B99-SUM(D99:Z99)</f>
        <v>739.85</v>
      </c>
      <c r="AC99" s="49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50"/>
      <c r="BQ99" s="50"/>
      <c r="BR99" s="50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  <c r="CQ99" s="50"/>
      <c r="CR99" s="50"/>
      <c r="CS99" s="50"/>
      <c r="CT99" s="50"/>
      <c r="CU99" s="50"/>
      <c r="CV99" s="50"/>
      <c r="CW99" s="50"/>
      <c r="CX99" s="50"/>
      <c r="CY99" s="50"/>
      <c r="CZ99" s="50"/>
      <c r="DA99" s="50"/>
      <c r="DB99" s="50"/>
      <c r="DC99" s="50"/>
      <c r="DD99" s="50"/>
      <c r="DE99" s="50"/>
      <c r="DF99" s="50"/>
      <c r="DG99" s="50"/>
      <c r="DH99" s="50"/>
      <c r="DI99" s="50"/>
      <c r="DJ99" s="50"/>
      <c r="DK99" s="50"/>
      <c r="DL99" s="50"/>
      <c r="DM99" s="50"/>
      <c r="DN99" s="50"/>
      <c r="DO99" s="50"/>
      <c r="DP99" s="50"/>
      <c r="DQ99" s="50"/>
      <c r="DR99" s="50"/>
      <c r="DS99" s="50"/>
      <c r="DT99" s="50"/>
      <c r="DU99" s="50"/>
      <c r="DV99" s="50"/>
      <c r="DW99" s="50"/>
      <c r="DX99" s="50"/>
      <c r="DY99" s="50"/>
      <c r="DZ99" s="50"/>
      <c r="EA99" s="50"/>
      <c r="EB99" s="50"/>
      <c r="EC99" s="50"/>
      <c r="ED99" s="50"/>
      <c r="EE99" s="50"/>
      <c r="EF99" s="50"/>
      <c r="EG99" s="50"/>
      <c r="EH99" s="50"/>
      <c r="EI99" s="50"/>
      <c r="EJ99" s="50"/>
      <c r="EK99" s="50"/>
      <c r="EL99" s="50"/>
      <c r="EM99" s="50"/>
      <c r="EN99" s="50"/>
      <c r="EO99" s="50"/>
    </row>
    <row r="100" spans="1:145" s="40" customFormat="1" ht="18.75" customHeight="1" thickBot="1" x14ac:dyDescent="0.4">
      <c r="A100" s="83"/>
      <c r="B100" s="94"/>
      <c r="C100" s="59" t="s">
        <v>1</v>
      </c>
      <c r="D100" s="36" t="s">
        <v>175</v>
      </c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108"/>
      <c r="AB100" s="102"/>
      <c r="AC100" s="51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/>
      <c r="CD100" s="52"/>
      <c r="CE100" s="52"/>
      <c r="CF100" s="52"/>
      <c r="CG100" s="52"/>
      <c r="CH100" s="52"/>
      <c r="CI100" s="52"/>
      <c r="CJ100" s="52"/>
      <c r="CK100" s="52"/>
      <c r="CL100" s="52"/>
      <c r="CM100" s="52"/>
      <c r="CN100" s="52"/>
      <c r="CO100" s="52"/>
      <c r="CP100" s="52"/>
      <c r="CQ100" s="52"/>
      <c r="CR100" s="52"/>
      <c r="CS100" s="52"/>
      <c r="CT100" s="52"/>
      <c r="CU100" s="52"/>
      <c r="CV100" s="52"/>
      <c r="CW100" s="52"/>
      <c r="CX100" s="52"/>
      <c r="CY100" s="52"/>
      <c r="CZ100" s="52"/>
      <c r="DA100" s="52"/>
      <c r="DB100" s="52"/>
      <c r="DC100" s="52"/>
      <c r="DD100" s="52"/>
      <c r="DE100" s="52"/>
      <c r="DF100" s="52"/>
      <c r="DG100" s="52"/>
      <c r="DH100" s="52"/>
      <c r="DI100" s="52"/>
      <c r="DJ100" s="52"/>
      <c r="DK100" s="52"/>
      <c r="DL100" s="52"/>
      <c r="DM100" s="52"/>
      <c r="DN100" s="52"/>
      <c r="DO100" s="52"/>
      <c r="DP100" s="52"/>
      <c r="DQ100" s="52"/>
      <c r="DR100" s="52"/>
      <c r="DS100" s="52"/>
      <c r="DT100" s="52"/>
      <c r="DU100" s="52"/>
      <c r="DV100" s="52"/>
      <c r="DW100" s="52"/>
      <c r="DX100" s="52"/>
      <c r="DY100" s="52"/>
      <c r="DZ100" s="52"/>
      <c r="EA100" s="52"/>
      <c r="EB100" s="52"/>
      <c r="EC100" s="52"/>
      <c r="ED100" s="52"/>
      <c r="EE100" s="52"/>
      <c r="EF100" s="52"/>
      <c r="EG100" s="52"/>
      <c r="EH100" s="52"/>
      <c r="EI100" s="52"/>
      <c r="EJ100" s="52"/>
      <c r="EK100" s="52"/>
      <c r="EL100" s="52"/>
      <c r="EM100" s="52"/>
      <c r="EN100" s="52"/>
      <c r="EO100" s="52"/>
    </row>
    <row r="101" spans="1:145" ht="18.75" customHeight="1" x14ac:dyDescent="0.35">
      <c r="A101" s="84" t="s">
        <v>28</v>
      </c>
      <c r="B101" s="95">
        <v>6419</v>
      </c>
      <c r="C101" s="45" t="s">
        <v>54</v>
      </c>
      <c r="D101" s="46">
        <v>440</v>
      </c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109" t="str">
        <f>A101</f>
        <v>REVYMAN</v>
      </c>
      <c r="AB101" s="101">
        <f>B101-SUM(D101:Z101)</f>
        <v>5979</v>
      </c>
      <c r="AC101" s="7"/>
    </row>
    <row r="102" spans="1:145" s="9" customFormat="1" ht="18.75" customHeight="1" thickBot="1" x14ac:dyDescent="0.4">
      <c r="A102" s="83"/>
      <c r="B102" s="94"/>
      <c r="C102" s="59" t="s">
        <v>1</v>
      </c>
      <c r="D102" s="36" t="s">
        <v>71</v>
      </c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108"/>
      <c r="AB102" s="102"/>
      <c r="AC102" s="8"/>
    </row>
    <row r="103" spans="1:145" ht="18.75" customHeight="1" x14ac:dyDescent="0.35">
      <c r="A103" s="84" t="s">
        <v>29</v>
      </c>
      <c r="B103" s="95">
        <v>0</v>
      </c>
      <c r="C103" s="45" t="s">
        <v>54</v>
      </c>
      <c r="D103" s="46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109" t="str">
        <f>A103</f>
        <v>RIOAUTO</v>
      </c>
      <c r="AB103" s="101">
        <f>B103-SUM(D103:Z103)</f>
        <v>0</v>
      </c>
      <c r="AC103" s="7"/>
    </row>
    <row r="104" spans="1:145" s="9" customFormat="1" ht="18.75" customHeight="1" thickBot="1" x14ac:dyDescent="0.4">
      <c r="A104" s="83"/>
      <c r="B104" s="94"/>
      <c r="C104" s="59" t="s">
        <v>1</v>
      </c>
      <c r="D104" s="36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108"/>
      <c r="AB104" s="102"/>
      <c r="AC104" s="8"/>
    </row>
    <row r="105" spans="1:145" s="1" customFormat="1" ht="18.75" customHeight="1" x14ac:dyDescent="0.35">
      <c r="A105" s="84" t="s">
        <v>30</v>
      </c>
      <c r="B105" s="95">
        <v>8905</v>
      </c>
      <c r="C105" s="45" t="s">
        <v>54</v>
      </c>
      <c r="D105" s="46">
        <v>8479</v>
      </c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109" t="str">
        <f>A105</f>
        <v>ROIG</v>
      </c>
      <c r="AB105" s="101">
        <f>B105-SUM(D105:Z105)</f>
        <v>426</v>
      </c>
      <c r="AC105" s="1" t="s">
        <v>104</v>
      </c>
    </row>
    <row r="106" spans="1:145" s="10" customFormat="1" ht="18.75" customHeight="1" thickBot="1" x14ac:dyDescent="0.4">
      <c r="A106" s="83"/>
      <c r="B106" s="94"/>
      <c r="C106" s="59" t="s">
        <v>1</v>
      </c>
      <c r="D106" s="36" t="s">
        <v>105</v>
      </c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108"/>
      <c r="AB106" s="102"/>
    </row>
    <row r="107" spans="1:145" ht="18.75" customHeight="1" x14ac:dyDescent="0.35">
      <c r="A107" s="85" t="s">
        <v>31</v>
      </c>
      <c r="B107" s="96">
        <v>2370</v>
      </c>
      <c r="C107" s="61" t="s">
        <v>54</v>
      </c>
      <c r="D107" s="62">
        <v>3400</v>
      </c>
      <c r="E107" s="63"/>
      <c r="F107" s="63"/>
      <c r="G107" s="63"/>
      <c r="H107" s="63"/>
      <c r="I107" s="63"/>
      <c r="J107" s="63"/>
      <c r="K107" s="63"/>
      <c r="L107" s="63"/>
      <c r="M107" s="63"/>
      <c r="N107" s="63"/>
      <c r="O107" s="63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  <c r="AA107" s="110" t="str">
        <f>A107</f>
        <v>RUBIU</v>
      </c>
      <c r="AB107" s="105">
        <f>B107-SUM(D107:Z107)</f>
        <v>-1030</v>
      </c>
      <c r="AC107" s="7"/>
    </row>
    <row r="108" spans="1:145" s="9" customFormat="1" ht="18.75" customHeight="1" thickBot="1" x14ac:dyDescent="0.4">
      <c r="A108" s="86"/>
      <c r="B108" s="97"/>
      <c r="C108" s="65" t="s">
        <v>1</v>
      </c>
      <c r="D108" s="66" t="s">
        <v>140</v>
      </c>
      <c r="E108" s="67"/>
      <c r="F108" s="67"/>
      <c r="G108" s="67"/>
      <c r="H108" s="67"/>
      <c r="I108" s="67"/>
      <c r="J108" s="67"/>
      <c r="K108" s="67"/>
      <c r="L108" s="67"/>
      <c r="M108" s="67"/>
      <c r="N108" s="67"/>
      <c r="O108" s="67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111"/>
      <c r="AB108" s="106"/>
      <c r="AC108" s="8"/>
    </row>
    <row r="109" spans="1:145" s="1" customFormat="1" ht="18.75" customHeight="1" x14ac:dyDescent="0.35">
      <c r="A109" s="84" t="s">
        <v>32</v>
      </c>
      <c r="B109" s="95">
        <v>4821</v>
      </c>
      <c r="C109" s="45" t="s">
        <v>54</v>
      </c>
      <c r="D109" s="46">
        <v>485.7</v>
      </c>
      <c r="E109" s="47">
        <v>458.36</v>
      </c>
      <c r="F109" s="47">
        <v>114.95</v>
      </c>
      <c r="G109" s="47"/>
      <c r="H109" s="47"/>
      <c r="I109" s="47"/>
      <c r="J109" s="47"/>
      <c r="K109" s="47"/>
      <c r="L109" s="47"/>
      <c r="M109" s="47"/>
      <c r="N109" s="47"/>
      <c r="O109" s="47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109" t="str">
        <f>A109</f>
        <v>RUTASA</v>
      </c>
      <c r="AB109" s="101">
        <f>B109-SUM(D109:Z109)</f>
        <v>3761.99</v>
      </c>
    </row>
    <row r="110" spans="1:145" s="10" customFormat="1" ht="18.75" customHeight="1" thickBot="1" x14ac:dyDescent="0.4">
      <c r="A110" s="83"/>
      <c r="B110" s="94"/>
      <c r="C110" s="59" t="s">
        <v>1</v>
      </c>
      <c r="D110" s="36" t="s">
        <v>167</v>
      </c>
      <c r="E110" s="35" t="s">
        <v>184</v>
      </c>
      <c r="F110" s="35" t="s">
        <v>188</v>
      </c>
      <c r="G110" s="35"/>
      <c r="H110" s="35"/>
      <c r="I110" s="35"/>
      <c r="J110" s="35"/>
      <c r="K110" s="35"/>
      <c r="L110" s="35"/>
      <c r="M110" s="35"/>
      <c r="N110" s="35"/>
      <c r="O110" s="3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108"/>
      <c r="AB110" s="102"/>
    </row>
    <row r="111" spans="1:145" ht="18.75" customHeight="1" x14ac:dyDescent="0.35">
      <c r="A111" s="85" t="s">
        <v>60</v>
      </c>
      <c r="B111" s="96">
        <v>3332</v>
      </c>
      <c r="C111" s="61" t="s">
        <v>54</v>
      </c>
      <c r="D111" s="62">
        <v>1812</v>
      </c>
      <c r="E111" s="63">
        <v>1520</v>
      </c>
      <c r="F111" s="63"/>
      <c r="G111" s="63"/>
      <c r="H111" s="63"/>
      <c r="I111" s="63"/>
      <c r="J111" s="63"/>
      <c r="K111" s="63"/>
      <c r="L111" s="63"/>
      <c r="M111" s="63"/>
      <c r="N111" s="63"/>
      <c r="O111" s="63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110" t="str">
        <f>A111</f>
        <v>SAN CARLOS( JARRY OBREGON)</v>
      </c>
      <c r="AB111" s="105">
        <f>B111-SUM(D111:Z111)</f>
        <v>0</v>
      </c>
      <c r="AC111" s="7"/>
    </row>
    <row r="112" spans="1:145" s="9" customFormat="1" ht="18.75" customHeight="1" thickBot="1" x14ac:dyDescent="0.4">
      <c r="A112" s="86"/>
      <c r="B112" s="97"/>
      <c r="C112" s="65" t="s">
        <v>1</v>
      </c>
      <c r="D112" s="66" t="s">
        <v>133</v>
      </c>
      <c r="E112" s="67" t="s">
        <v>133</v>
      </c>
      <c r="F112" s="67"/>
      <c r="G112" s="67"/>
      <c r="H112" s="67"/>
      <c r="I112" s="67"/>
      <c r="J112" s="67"/>
      <c r="K112" s="67"/>
      <c r="L112" s="67"/>
      <c r="M112" s="67"/>
      <c r="N112" s="67"/>
      <c r="O112" s="67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111"/>
      <c r="AB112" s="106"/>
      <c r="AC112" s="8"/>
    </row>
    <row r="113" spans="1:71" s="37" customFormat="1" ht="18.75" customHeight="1" x14ac:dyDescent="0.35">
      <c r="A113" s="84" t="s">
        <v>63</v>
      </c>
      <c r="B113" s="95">
        <v>5428</v>
      </c>
      <c r="C113" s="45" t="s">
        <v>54</v>
      </c>
      <c r="D113" s="46">
        <v>970</v>
      </c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109" t="str">
        <f>A113</f>
        <v>TALLER AUTOS FORMENTERA</v>
      </c>
      <c r="AB113" s="101">
        <f>B113-SUM(D113:Z113)</f>
        <v>4458</v>
      </c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</row>
    <row r="114" spans="1:71" s="38" customFormat="1" ht="18.75" customHeight="1" thickBot="1" x14ac:dyDescent="0.4">
      <c r="A114" s="83"/>
      <c r="B114" s="94"/>
      <c r="C114" s="59" t="s">
        <v>1</v>
      </c>
      <c r="D114" s="36" t="s">
        <v>194</v>
      </c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108"/>
      <c r="AB114" s="102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4"/>
      <c r="BE114" s="54"/>
      <c r="BF114" s="54"/>
      <c r="BG114" s="54"/>
      <c r="BH114" s="54"/>
      <c r="BI114" s="54"/>
      <c r="BJ114" s="54"/>
      <c r="BK114" s="54"/>
      <c r="BL114" s="54"/>
      <c r="BM114" s="54"/>
      <c r="BN114" s="54"/>
      <c r="BO114" s="54"/>
      <c r="BP114" s="54"/>
      <c r="BQ114" s="54"/>
      <c r="BR114" s="54"/>
      <c r="BS114" s="54"/>
    </row>
    <row r="115" spans="1:71" ht="18.75" customHeight="1" x14ac:dyDescent="0.35">
      <c r="A115" s="84" t="s">
        <v>62</v>
      </c>
      <c r="B115" s="95">
        <v>3006</v>
      </c>
      <c r="C115" s="45" t="s">
        <v>54</v>
      </c>
      <c r="D115" s="46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109" t="str">
        <f>A115</f>
        <v>TALLER DOS TORRES (OSCAR FRANCH)</v>
      </c>
      <c r="AB115" s="101">
        <f>B115-SUM(D115:Z115)</f>
        <v>3006</v>
      </c>
      <c r="AC115" s="49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50"/>
      <c r="BQ115" s="50"/>
      <c r="BR115" s="50"/>
      <c r="BS115" s="50"/>
    </row>
    <row r="116" spans="1:71" s="9" customFormat="1" ht="18.75" customHeight="1" thickBot="1" x14ac:dyDescent="0.4">
      <c r="A116" s="83"/>
      <c r="B116" s="94"/>
      <c r="C116" s="81" t="s">
        <v>1</v>
      </c>
      <c r="D116" s="36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108"/>
      <c r="AB116" s="102"/>
      <c r="AC116" s="8"/>
    </row>
    <row r="117" spans="1:71" s="1" customFormat="1" ht="18.75" customHeight="1" x14ac:dyDescent="0.35">
      <c r="A117" s="84" t="s">
        <v>51</v>
      </c>
      <c r="B117" s="95">
        <v>3540</v>
      </c>
      <c r="C117" s="45" t="s">
        <v>54</v>
      </c>
      <c r="D117" s="46">
        <v>861.08</v>
      </c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109" t="str">
        <f>A117</f>
        <v>TALLER EUROPA FORMENTERA</v>
      </c>
      <c r="AB117" s="101">
        <f>B117-SUM(D117:Z117)</f>
        <v>2678.92</v>
      </c>
    </row>
    <row r="118" spans="1:71" s="10" customFormat="1" ht="18.75" customHeight="1" thickBot="1" x14ac:dyDescent="0.4">
      <c r="A118" s="83"/>
      <c r="B118" s="94"/>
      <c r="C118" s="59" t="s">
        <v>1</v>
      </c>
      <c r="D118" s="36" t="s">
        <v>86</v>
      </c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108"/>
      <c r="AB118" s="102"/>
    </row>
    <row r="119" spans="1:71" ht="18.75" customHeight="1" x14ac:dyDescent="0.35">
      <c r="A119" s="84" t="s">
        <v>66</v>
      </c>
      <c r="B119" s="95">
        <v>5670</v>
      </c>
      <c r="C119" s="45" t="s">
        <v>54</v>
      </c>
      <c r="D119" s="46">
        <v>299.85000000000002</v>
      </c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109" t="str">
        <f>A119</f>
        <v>TALLERES IBIZA CAR</v>
      </c>
      <c r="AB119" s="101">
        <f>B119-SUM(D119:Z119)</f>
        <v>5370.15</v>
      </c>
      <c r="AC119" s="7"/>
    </row>
    <row r="120" spans="1:71" s="9" customFormat="1" ht="18.75" customHeight="1" thickBot="1" x14ac:dyDescent="0.4">
      <c r="A120" s="83"/>
      <c r="B120" s="94"/>
      <c r="C120" s="59" t="s">
        <v>1</v>
      </c>
      <c r="D120" s="36" t="s">
        <v>123</v>
      </c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108"/>
      <c r="AB120" s="102"/>
      <c r="AC120" s="8"/>
    </row>
    <row r="121" spans="1:71" s="1" customFormat="1" ht="18.75" customHeight="1" x14ac:dyDescent="0.35">
      <c r="A121" s="85" t="s">
        <v>33</v>
      </c>
      <c r="B121" s="96">
        <v>1099</v>
      </c>
      <c r="C121" s="61" t="s">
        <v>54</v>
      </c>
      <c r="D121" s="62">
        <v>229</v>
      </c>
      <c r="E121" s="63">
        <v>2790</v>
      </c>
      <c r="F121" s="63"/>
      <c r="G121" s="63"/>
      <c r="H121" s="63"/>
      <c r="I121" s="63"/>
      <c r="J121" s="63"/>
      <c r="K121" s="63"/>
      <c r="L121" s="63"/>
      <c r="M121" s="63"/>
      <c r="N121" s="63"/>
      <c r="O121" s="63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110" t="str">
        <f>A121</f>
        <v>TECNOMOTOR</v>
      </c>
      <c r="AB121" s="105">
        <v>0</v>
      </c>
    </row>
    <row r="122" spans="1:71" s="10" customFormat="1" ht="18.75" customHeight="1" thickBot="1" x14ac:dyDescent="0.4">
      <c r="A122" s="86"/>
      <c r="B122" s="97"/>
      <c r="C122" s="65" t="s">
        <v>1</v>
      </c>
      <c r="D122" s="66" t="s">
        <v>88</v>
      </c>
      <c r="E122" s="67" t="s">
        <v>102</v>
      </c>
      <c r="F122" s="67"/>
      <c r="G122" s="67"/>
      <c r="H122" s="67"/>
      <c r="I122" s="67"/>
      <c r="J122" s="67"/>
      <c r="K122" s="67"/>
      <c r="L122" s="67"/>
      <c r="M122" s="67"/>
      <c r="N122" s="67"/>
      <c r="O122" s="67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111"/>
      <c r="AB122" s="106"/>
    </row>
    <row r="123" spans="1:71" ht="18.75" customHeight="1" x14ac:dyDescent="0.35">
      <c r="A123" s="84" t="s">
        <v>34</v>
      </c>
      <c r="B123" s="95">
        <v>3251</v>
      </c>
      <c r="C123" s="45" t="s">
        <v>54</v>
      </c>
      <c r="D123" s="46">
        <v>2293.35</v>
      </c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109" t="str">
        <f>A123</f>
        <v>TECNOMOVIL</v>
      </c>
      <c r="AB123" s="101">
        <f>B123-SUM(D123:Z123)</f>
        <v>957.65000000000009</v>
      </c>
      <c r="AC123" s="7"/>
    </row>
    <row r="124" spans="1:71" s="9" customFormat="1" ht="18.75" customHeight="1" thickBot="1" x14ac:dyDescent="0.4">
      <c r="A124" s="83"/>
      <c r="B124" s="94"/>
      <c r="C124" s="59" t="s">
        <v>1</v>
      </c>
      <c r="D124" s="36" t="s">
        <v>125</v>
      </c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108"/>
      <c r="AB124" s="102"/>
      <c r="AC124" s="8"/>
    </row>
    <row r="125" spans="1:71" ht="18.75" customHeight="1" x14ac:dyDescent="0.35">
      <c r="A125" s="84" t="s">
        <v>35</v>
      </c>
      <c r="B125" s="95">
        <v>1883</v>
      </c>
      <c r="C125" s="45" t="s">
        <v>54</v>
      </c>
      <c r="D125" s="46">
        <v>240</v>
      </c>
      <c r="E125" s="47">
        <v>395</v>
      </c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109" t="str">
        <f>A125</f>
        <v>YAÑEZ</v>
      </c>
      <c r="AB125" s="101">
        <f>B125-SUM(D125:Z125)</f>
        <v>1248</v>
      </c>
      <c r="AC125" s="7"/>
    </row>
    <row r="126" spans="1:71" s="9" customFormat="1" ht="18.75" customHeight="1" thickBot="1" x14ac:dyDescent="0.4">
      <c r="A126" s="83"/>
      <c r="B126" s="94"/>
      <c r="C126" s="59" t="s">
        <v>1</v>
      </c>
      <c r="D126" s="36" t="s">
        <v>153</v>
      </c>
      <c r="E126" s="35" t="s">
        <v>157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108"/>
      <c r="AB126" s="102"/>
      <c r="AC126" s="8"/>
    </row>
    <row r="127" spans="1:71" ht="18.75" customHeight="1" x14ac:dyDescent="0.35">
      <c r="A127" s="87" t="s">
        <v>52</v>
      </c>
      <c r="B127" s="98">
        <v>2095</v>
      </c>
      <c r="C127" s="71" t="s">
        <v>54</v>
      </c>
      <c r="D127" s="72" t="s">
        <v>155</v>
      </c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112" t="str">
        <f>A127</f>
        <v>YOUNES</v>
      </c>
      <c r="AB127" s="103">
        <f>B127-SUM(D127:Z127)</f>
        <v>2095</v>
      </c>
      <c r="AC127" s="7"/>
    </row>
    <row r="128" spans="1:71" s="9" customFormat="1" ht="18.75" customHeight="1" thickBot="1" x14ac:dyDescent="0.4">
      <c r="A128" s="88"/>
      <c r="B128" s="99"/>
      <c r="C128" s="75" t="s">
        <v>1</v>
      </c>
      <c r="D128" s="76" t="s">
        <v>133</v>
      </c>
      <c r="E128" s="77"/>
      <c r="F128" s="77"/>
      <c r="G128" s="77"/>
      <c r="H128" s="77"/>
      <c r="I128" s="77"/>
      <c r="J128" s="77"/>
      <c r="K128" s="77"/>
      <c r="L128" s="77"/>
      <c r="M128" s="77"/>
      <c r="N128" s="79"/>
      <c r="O128" s="79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113"/>
      <c r="AB128" s="104"/>
      <c r="AC128" s="8"/>
    </row>
    <row r="129" spans="1:29" ht="18.75" customHeight="1" x14ac:dyDescent="0.35">
      <c r="A129" s="85" t="s">
        <v>70</v>
      </c>
      <c r="B129" s="96">
        <v>1095</v>
      </c>
      <c r="C129" s="61" t="s">
        <v>54</v>
      </c>
      <c r="D129" s="62">
        <v>1095</v>
      </c>
      <c r="E129" s="63"/>
      <c r="F129" s="63"/>
      <c r="G129" s="63"/>
      <c r="H129" s="63"/>
      <c r="I129" s="63"/>
      <c r="J129" s="63"/>
      <c r="K129" s="63"/>
      <c r="L129" s="63"/>
      <c r="M129" s="63"/>
      <c r="N129" s="69"/>
      <c r="O129" s="69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  <c r="AA129" s="110" t="str">
        <f>A129</f>
        <v>TALLER ARANCHEZ</v>
      </c>
      <c r="AB129" s="105">
        <f>B129-SUM(D129:Z129)</f>
        <v>0</v>
      </c>
      <c r="AC129" s="7"/>
    </row>
    <row r="130" spans="1:29" s="9" customFormat="1" ht="18.75" customHeight="1" thickBot="1" x14ac:dyDescent="0.4">
      <c r="A130" s="86"/>
      <c r="B130" s="97"/>
      <c r="C130" s="65" t="s">
        <v>1</v>
      </c>
      <c r="D130" s="66" t="s">
        <v>83</v>
      </c>
      <c r="E130" s="67"/>
      <c r="F130" s="67"/>
      <c r="G130" s="67"/>
      <c r="H130" s="67"/>
      <c r="I130" s="67"/>
      <c r="J130" s="67"/>
      <c r="K130" s="67"/>
      <c r="L130" s="67"/>
      <c r="M130" s="67"/>
      <c r="N130" s="70"/>
      <c r="O130" s="70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111"/>
      <c r="AB130" s="106"/>
      <c r="AC130" s="8"/>
    </row>
    <row r="131" spans="1:29" ht="18.75" customHeight="1" x14ac:dyDescent="0.35">
      <c r="A131" s="84" t="s">
        <v>72</v>
      </c>
      <c r="B131" s="95">
        <v>3998</v>
      </c>
      <c r="C131" s="45" t="s">
        <v>54</v>
      </c>
      <c r="D131" s="46">
        <v>1320</v>
      </c>
      <c r="E131" s="47">
        <v>505</v>
      </c>
      <c r="F131" s="47">
        <v>200</v>
      </c>
      <c r="G131" s="47">
        <v>453.6</v>
      </c>
      <c r="H131" s="47">
        <v>34.950000000000003</v>
      </c>
      <c r="I131" s="47">
        <v>715</v>
      </c>
      <c r="J131" s="47"/>
      <c r="K131" s="47"/>
      <c r="L131" s="47"/>
      <c r="M131" s="47"/>
      <c r="N131" s="47"/>
      <c r="O131" s="47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109" t="str">
        <f>A131</f>
        <v>CALA LLENYA VIP SERVICE</v>
      </c>
      <c r="AB131" s="101">
        <f>B131-SUM(D131:Z131)</f>
        <v>769.45000000000027</v>
      </c>
      <c r="AC131" s="7"/>
    </row>
    <row r="132" spans="1:29" s="9" customFormat="1" ht="18.75" customHeight="1" thickBot="1" x14ac:dyDescent="0.4">
      <c r="A132" s="83"/>
      <c r="B132" s="94"/>
      <c r="C132" s="59" t="s">
        <v>1</v>
      </c>
      <c r="D132" s="36" t="s">
        <v>117</v>
      </c>
      <c r="E132" s="35" t="s">
        <v>119</v>
      </c>
      <c r="F132" s="35" t="s">
        <v>131</v>
      </c>
      <c r="G132" s="35" t="s">
        <v>148</v>
      </c>
      <c r="H132" s="35" t="s">
        <v>166</v>
      </c>
      <c r="I132" s="35" t="s">
        <v>193</v>
      </c>
      <c r="J132" s="35"/>
      <c r="K132" s="35"/>
      <c r="L132" s="35"/>
      <c r="M132" s="35"/>
      <c r="N132" s="35"/>
      <c r="O132" s="3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108"/>
      <c r="AB132" s="102"/>
      <c r="AC132" s="8"/>
    </row>
    <row r="133" spans="1:29" s="1" customFormat="1" ht="18.75" customHeight="1" x14ac:dyDescent="0.35">
      <c r="A133" s="84" t="s">
        <v>90</v>
      </c>
      <c r="B133" s="95">
        <v>937.14</v>
      </c>
      <c r="C133" s="45" t="s">
        <v>54</v>
      </c>
      <c r="D133" s="46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109" t="str">
        <f>A133</f>
        <v>INSTITUTO ISIDORO MACABICH</v>
      </c>
      <c r="AB133" s="101">
        <f>B133-SUM(D133:Z133)</f>
        <v>937.14</v>
      </c>
      <c r="AC133" s="7"/>
    </row>
    <row r="134" spans="1:29" s="10" customFormat="1" ht="18.75" customHeight="1" thickBot="1" x14ac:dyDescent="0.4">
      <c r="A134" s="83"/>
      <c r="B134" s="94"/>
      <c r="C134" s="59" t="s">
        <v>1</v>
      </c>
      <c r="D134" s="36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108"/>
      <c r="AB134" s="102"/>
      <c r="AC134" s="8"/>
    </row>
    <row r="135" spans="1:29" ht="18.75" customHeight="1" x14ac:dyDescent="0.35">
      <c r="A135" s="84"/>
      <c r="B135" s="95"/>
      <c r="C135" s="45" t="s">
        <v>54</v>
      </c>
      <c r="D135" s="46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109">
        <f>A135</f>
        <v>0</v>
      </c>
      <c r="AB135" s="101">
        <f>B135-SUM(D135:Z135)</f>
        <v>0</v>
      </c>
      <c r="AC135" s="7"/>
    </row>
    <row r="136" spans="1:29" s="9" customFormat="1" ht="18.75" customHeight="1" thickBot="1" x14ac:dyDescent="0.4">
      <c r="A136" s="83"/>
      <c r="B136" s="94"/>
      <c r="C136" s="59" t="s">
        <v>1</v>
      </c>
      <c r="D136" s="36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108"/>
      <c r="AB136" s="102"/>
      <c r="AC136" s="8"/>
    </row>
    <row r="137" spans="1:29" ht="18.75" customHeight="1" x14ac:dyDescent="0.35">
      <c r="A137" s="84"/>
      <c r="B137" s="95"/>
      <c r="C137" s="45" t="s">
        <v>54</v>
      </c>
      <c r="D137" s="46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109">
        <f>A137</f>
        <v>0</v>
      </c>
      <c r="AB137" s="101">
        <f>B137-SUM(D137:Z137)</f>
        <v>0</v>
      </c>
      <c r="AC137" s="7"/>
    </row>
    <row r="138" spans="1:29" s="9" customFormat="1" ht="18.75" customHeight="1" thickBot="1" x14ac:dyDescent="0.4">
      <c r="A138" s="89"/>
      <c r="B138" s="100"/>
      <c r="C138" s="60" t="s">
        <v>1</v>
      </c>
      <c r="D138" s="56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108"/>
      <c r="AB138" s="102"/>
      <c r="AC138" s="8"/>
    </row>
    <row r="139" spans="1:29" ht="18.75" customHeight="1" x14ac:dyDescent="0.25">
      <c r="A139" s="17"/>
      <c r="B139" s="18"/>
      <c r="C139" s="22"/>
      <c r="D139" s="19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8"/>
      <c r="AB139" s="31">
        <f t="shared" ref="AB139:AB149" si="0">B139-SUM(D139:O139)</f>
        <v>0</v>
      </c>
      <c r="AC139" s="7"/>
    </row>
    <row r="140" spans="1:29" ht="18.75" customHeight="1" x14ac:dyDescent="0.25">
      <c r="A140" s="11"/>
      <c r="B140" s="13"/>
      <c r="C140" s="23"/>
      <c r="D140" s="3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9"/>
      <c r="AB140" s="32">
        <f t="shared" si="0"/>
        <v>0</v>
      </c>
    </row>
    <row r="141" spans="1:29" ht="18.75" customHeight="1" x14ac:dyDescent="0.25">
      <c r="A141" s="11"/>
      <c r="B141" s="13"/>
      <c r="C141" s="23"/>
      <c r="D141" s="3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9"/>
      <c r="AB141" s="32">
        <f t="shared" si="0"/>
        <v>0</v>
      </c>
    </row>
    <row r="142" spans="1:29" ht="18.75" customHeight="1" x14ac:dyDescent="0.25">
      <c r="A142" s="11"/>
      <c r="B142" s="13"/>
      <c r="C142" s="23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9"/>
      <c r="AB142" s="32">
        <f t="shared" si="0"/>
        <v>0</v>
      </c>
    </row>
    <row r="143" spans="1:29" ht="18.75" customHeight="1" x14ac:dyDescent="0.25">
      <c r="A143" s="11"/>
      <c r="B143" s="13"/>
      <c r="C143" s="23"/>
      <c r="D143" s="5"/>
      <c r="E143" s="6"/>
      <c r="F143" s="6"/>
      <c r="G143" s="6"/>
      <c r="H143" s="6"/>
      <c r="I143" s="6"/>
      <c r="J143" s="6"/>
      <c r="K143" s="6"/>
      <c r="L143" s="6"/>
      <c r="M143" s="6"/>
      <c r="N143" s="4"/>
      <c r="O143" s="4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9"/>
      <c r="AB143" s="32">
        <f t="shared" si="0"/>
        <v>0</v>
      </c>
    </row>
    <row r="144" spans="1:29" ht="18.75" customHeight="1" x14ac:dyDescent="0.25">
      <c r="A144" s="11"/>
      <c r="B144" s="13"/>
      <c r="C144" s="23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9"/>
      <c r="AB144" s="32">
        <f t="shared" si="0"/>
        <v>0</v>
      </c>
    </row>
    <row r="145" spans="1:28" x14ac:dyDescent="0.25">
      <c r="A145" s="11"/>
      <c r="B145" s="13"/>
      <c r="C145" s="23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9"/>
      <c r="AB145" s="32">
        <f t="shared" si="0"/>
        <v>0</v>
      </c>
    </row>
    <row r="146" spans="1:28" x14ac:dyDescent="0.25">
      <c r="A146" s="11"/>
      <c r="B146" s="13"/>
      <c r="C146" s="23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9"/>
      <c r="AB146" s="32">
        <f t="shared" si="0"/>
        <v>0</v>
      </c>
    </row>
    <row r="147" spans="1:28" x14ac:dyDescent="0.25">
      <c r="A147" s="11"/>
      <c r="B147" s="13"/>
      <c r="C147" s="23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9"/>
      <c r="AB147" s="32">
        <f t="shared" si="0"/>
        <v>0</v>
      </c>
    </row>
    <row r="148" spans="1:28" x14ac:dyDescent="0.25">
      <c r="A148" s="11"/>
      <c r="B148" s="13"/>
      <c r="C148" s="23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9"/>
      <c r="AB148" s="32">
        <f t="shared" si="0"/>
        <v>0</v>
      </c>
    </row>
    <row r="149" spans="1:28" x14ac:dyDescent="0.25">
      <c r="A149" s="11"/>
      <c r="B149" s="13"/>
      <c r="C149" s="23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9"/>
      <c r="AB149" s="32">
        <f t="shared" si="0"/>
        <v>0</v>
      </c>
    </row>
  </sheetData>
  <sheetProtection selectLockedCells="1"/>
  <sortState xmlns:xlrd2="http://schemas.microsoft.com/office/spreadsheetml/2017/richdata2" ref="A2:B128">
    <sortCondition ref="A3:A128"/>
  </sortState>
  <mergeCells count="275">
    <mergeCell ref="AA2:AB2"/>
    <mergeCell ref="C2:Z2"/>
    <mergeCell ref="AA127:AA128"/>
    <mergeCell ref="AA129:AA130"/>
    <mergeCell ref="AA131:AA132"/>
    <mergeCell ref="AA133:AA134"/>
    <mergeCell ref="AA135:AA136"/>
    <mergeCell ref="AA137:AA138"/>
    <mergeCell ref="AA115:AA116"/>
    <mergeCell ref="AA117:AA118"/>
    <mergeCell ref="AA119:AA120"/>
    <mergeCell ref="AA121:AA122"/>
    <mergeCell ref="AA123:AA124"/>
    <mergeCell ref="AA125:AA126"/>
    <mergeCell ref="AA103:AA104"/>
    <mergeCell ref="AA105:AA106"/>
    <mergeCell ref="AA107:AA108"/>
    <mergeCell ref="AA109:AA110"/>
    <mergeCell ref="AA111:AA112"/>
    <mergeCell ref="AA113:AA114"/>
    <mergeCell ref="AA91:AA92"/>
    <mergeCell ref="AA93:AA94"/>
    <mergeCell ref="AA95:AA96"/>
    <mergeCell ref="AA97:AA98"/>
    <mergeCell ref="AA99:AA100"/>
    <mergeCell ref="AA101:AA102"/>
    <mergeCell ref="AA79:AA80"/>
    <mergeCell ref="AA81:AA82"/>
    <mergeCell ref="AA83:AA84"/>
    <mergeCell ref="AA85:AA86"/>
    <mergeCell ref="AA87:AA88"/>
    <mergeCell ref="AA89:AA90"/>
    <mergeCell ref="AA67:AA68"/>
    <mergeCell ref="AA69:AA70"/>
    <mergeCell ref="AA71:AA72"/>
    <mergeCell ref="AA73:AA74"/>
    <mergeCell ref="AA75:AA76"/>
    <mergeCell ref="AA77:AA78"/>
    <mergeCell ref="AA55:AA56"/>
    <mergeCell ref="AA57:AA58"/>
    <mergeCell ref="AA59:AA60"/>
    <mergeCell ref="AA61:AA62"/>
    <mergeCell ref="AA63:AA64"/>
    <mergeCell ref="AA65:AA66"/>
    <mergeCell ref="AA43:AA44"/>
    <mergeCell ref="AA45:AA46"/>
    <mergeCell ref="AA47:AA48"/>
    <mergeCell ref="AA49:AA50"/>
    <mergeCell ref="AA51:AA52"/>
    <mergeCell ref="AA53:AA54"/>
    <mergeCell ref="AA31:AA32"/>
    <mergeCell ref="AA33:AA34"/>
    <mergeCell ref="AA35:AA36"/>
    <mergeCell ref="AA37:AA38"/>
    <mergeCell ref="AA39:AA40"/>
    <mergeCell ref="AA41:AA42"/>
    <mergeCell ref="AA19:AA20"/>
    <mergeCell ref="AA21:AA22"/>
    <mergeCell ref="AA23:AA24"/>
    <mergeCell ref="AA25:AA26"/>
    <mergeCell ref="AA27:AA28"/>
    <mergeCell ref="AA29:AA30"/>
    <mergeCell ref="AB135:AB136"/>
    <mergeCell ref="AB137:AB138"/>
    <mergeCell ref="AA3:AA4"/>
    <mergeCell ref="AA5:AA6"/>
    <mergeCell ref="AA7:AA8"/>
    <mergeCell ref="AA9:AA10"/>
    <mergeCell ref="AA11:AA12"/>
    <mergeCell ref="AA13:AA14"/>
    <mergeCell ref="AA15:AA16"/>
    <mergeCell ref="AA17:AA18"/>
    <mergeCell ref="AB123:AB124"/>
    <mergeCell ref="AB125:AB126"/>
    <mergeCell ref="AB127:AB128"/>
    <mergeCell ref="AB129:AB130"/>
    <mergeCell ref="AB131:AB132"/>
    <mergeCell ref="AB133:AB134"/>
    <mergeCell ref="AB111:AB112"/>
    <mergeCell ref="AB113:AB114"/>
    <mergeCell ref="AB115:AB116"/>
    <mergeCell ref="AB117:AB118"/>
    <mergeCell ref="AB119:AB120"/>
    <mergeCell ref="AB121:AB122"/>
    <mergeCell ref="AB99:AB100"/>
    <mergeCell ref="AB101:AB102"/>
    <mergeCell ref="AB103:AB104"/>
    <mergeCell ref="AB105:AB106"/>
    <mergeCell ref="AB107:AB108"/>
    <mergeCell ref="AB109:AB110"/>
    <mergeCell ref="AB87:AB88"/>
    <mergeCell ref="AB89:AB90"/>
    <mergeCell ref="AB91:AB92"/>
    <mergeCell ref="AB93:AB94"/>
    <mergeCell ref="AB95:AB96"/>
    <mergeCell ref="AB97:AB98"/>
    <mergeCell ref="AB75:AB76"/>
    <mergeCell ref="AB77:AB78"/>
    <mergeCell ref="AB79:AB80"/>
    <mergeCell ref="AB81:AB82"/>
    <mergeCell ref="AB83:AB84"/>
    <mergeCell ref="AB85:AB86"/>
    <mergeCell ref="AB63:AB64"/>
    <mergeCell ref="AB65:AB66"/>
    <mergeCell ref="AB67:AB68"/>
    <mergeCell ref="AB69:AB70"/>
    <mergeCell ref="AB71:AB72"/>
    <mergeCell ref="AB73:AB74"/>
    <mergeCell ref="AB51:AB52"/>
    <mergeCell ref="AB53:AB54"/>
    <mergeCell ref="AB55:AB56"/>
    <mergeCell ref="AB57:AB58"/>
    <mergeCell ref="AB59:AB60"/>
    <mergeCell ref="AB61:AB62"/>
    <mergeCell ref="AB39:AB40"/>
    <mergeCell ref="AB41:AB42"/>
    <mergeCell ref="AB43:AB44"/>
    <mergeCell ref="AB45:AB46"/>
    <mergeCell ref="AB47:AB48"/>
    <mergeCell ref="AB49:AB50"/>
    <mergeCell ref="AB27:AB28"/>
    <mergeCell ref="AB29:AB30"/>
    <mergeCell ref="AB31:AB32"/>
    <mergeCell ref="AB33:AB34"/>
    <mergeCell ref="AB35:AB36"/>
    <mergeCell ref="AB37:AB38"/>
    <mergeCell ref="AB15:AB16"/>
    <mergeCell ref="AB17:AB18"/>
    <mergeCell ref="AB19:AB20"/>
    <mergeCell ref="AB21:AB22"/>
    <mergeCell ref="AB23:AB24"/>
    <mergeCell ref="AB25:AB26"/>
    <mergeCell ref="B131:B132"/>
    <mergeCell ref="B133:B134"/>
    <mergeCell ref="B135:B136"/>
    <mergeCell ref="B137:B138"/>
    <mergeCell ref="AB3:AB4"/>
    <mergeCell ref="AB5:AB6"/>
    <mergeCell ref="AB7:AB8"/>
    <mergeCell ref="AB9:AB10"/>
    <mergeCell ref="AB11:AB12"/>
    <mergeCell ref="AB13:AB14"/>
    <mergeCell ref="B119:B120"/>
    <mergeCell ref="B121:B122"/>
    <mergeCell ref="B123:B124"/>
    <mergeCell ref="B125:B126"/>
    <mergeCell ref="B127:B128"/>
    <mergeCell ref="B129:B130"/>
    <mergeCell ref="B107:B108"/>
    <mergeCell ref="B109:B110"/>
    <mergeCell ref="B111:B112"/>
    <mergeCell ref="B113:B114"/>
    <mergeCell ref="B115:B116"/>
    <mergeCell ref="B117:B118"/>
    <mergeCell ref="B95:B96"/>
    <mergeCell ref="B97:B98"/>
    <mergeCell ref="B99:B100"/>
    <mergeCell ref="B101:B102"/>
    <mergeCell ref="B103:B104"/>
    <mergeCell ref="B105:B106"/>
    <mergeCell ref="B83:B84"/>
    <mergeCell ref="B85:B86"/>
    <mergeCell ref="B87:B88"/>
    <mergeCell ref="B89:B90"/>
    <mergeCell ref="B91:B92"/>
    <mergeCell ref="B93:B94"/>
    <mergeCell ref="B71:B72"/>
    <mergeCell ref="B73:B74"/>
    <mergeCell ref="B75:B76"/>
    <mergeCell ref="B77:B78"/>
    <mergeCell ref="B79:B80"/>
    <mergeCell ref="B81:B82"/>
    <mergeCell ref="B59:B60"/>
    <mergeCell ref="B61:B62"/>
    <mergeCell ref="B63:B64"/>
    <mergeCell ref="B65:B66"/>
    <mergeCell ref="B67:B68"/>
    <mergeCell ref="B69:B70"/>
    <mergeCell ref="B47:B48"/>
    <mergeCell ref="B49:B50"/>
    <mergeCell ref="B51:B52"/>
    <mergeCell ref="B53:B54"/>
    <mergeCell ref="B55:B56"/>
    <mergeCell ref="B57:B58"/>
    <mergeCell ref="B35:B36"/>
    <mergeCell ref="B37:B38"/>
    <mergeCell ref="B39:B40"/>
    <mergeCell ref="B41:B42"/>
    <mergeCell ref="B43:B44"/>
    <mergeCell ref="B45:B46"/>
    <mergeCell ref="B23:B24"/>
    <mergeCell ref="B25:B26"/>
    <mergeCell ref="B27:B28"/>
    <mergeCell ref="B29:B30"/>
    <mergeCell ref="B31:B32"/>
    <mergeCell ref="B33:B34"/>
    <mergeCell ref="B11:B12"/>
    <mergeCell ref="B13:B14"/>
    <mergeCell ref="B15:B16"/>
    <mergeCell ref="B17:B18"/>
    <mergeCell ref="B19:B20"/>
    <mergeCell ref="B21:B22"/>
    <mergeCell ref="A131:A132"/>
    <mergeCell ref="A133:A134"/>
    <mergeCell ref="A135:A136"/>
    <mergeCell ref="A137:A138"/>
    <mergeCell ref="A1:AB1"/>
    <mergeCell ref="B3:B4"/>
    <mergeCell ref="B5:B6"/>
    <mergeCell ref="B7:B8"/>
    <mergeCell ref="B9:B10"/>
    <mergeCell ref="A119:A120"/>
    <mergeCell ref="A121:A122"/>
    <mergeCell ref="A123:A124"/>
    <mergeCell ref="A125:A126"/>
    <mergeCell ref="A127:A128"/>
    <mergeCell ref="A129:A130"/>
    <mergeCell ref="A107:A108"/>
    <mergeCell ref="A109:A110"/>
    <mergeCell ref="A111:A112"/>
    <mergeCell ref="A113:A114"/>
    <mergeCell ref="A115:A116"/>
    <mergeCell ref="A117:A118"/>
    <mergeCell ref="A95:A96"/>
    <mergeCell ref="A97:A98"/>
    <mergeCell ref="A99:A100"/>
    <mergeCell ref="A101:A102"/>
    <mergeCell ref="A103:A104"/>
    <mergeCell ref="A105:A106"/>
    <mergeCell ref="A83:A84"/>
    <mergeCell ref="A85:A86"/>
    <mergeCell ref="A87:A88"/>
    <mergeCell ref="A89:A90"/>
    <mergeCell ref="A91:A92"/>
    <mergeCell ref="A93:A94"/>
    <mergeCell ref="A71:A72"/>
    <mergeCell ref="A73:A74"/>
    <mergeCell ref="A75:A76"/>
    <mergeCell ref="A77:A78"/>
    <mergeCell ref="A79:A80"/>
    <mergeCell ref="A81:A82"/>
    <mergeCell ref="A59:A60"/>
    <mergeCell ref="A61:A62"/>
    <mergeCell ref="A63:A64"/>
    <mergeCell ref="A65:A66"/>
    <mergeCell ref="A67:A68"/>
    <mergeCell ref="A69:A70"/>
    <mergeCell ref="A51:A52"/>
    <mergeCell ref="A53:A54"/>
    <mergeCell ref="A55:A56"/>
    <mergeCell ref="A57:A58"/>
    <mergeCell ref="A35:A36"/>
    <mergeCell ref="A37:A38"/>
    <mergeCell ref="A39:A40"/>
    <mergeCell ref="A41:A42"/>
    <mergeCell ref="A43:A44"/>
    <mergeCell ref="A45:A46"/>
    <mergeCell ref="A33:A34"/>
    <mergeCell ref="A11:A12"/>
    <mergeCell ref="A13:A14"/>
    <mergeCell ref="A15:A16"/>
    <mergeCell ref="A17:A18"/>
    <mergeCell ref="A19:A20"/>
    <mergeCell ref="A21:A22"/>
    <mergeCell ref="A47:A48"/>
    <mergeCell ref="A49:A50"/>
    <mergeCell ref="A3:A4"/>
    <mergeCell ref="A5:A6"/>
    <mergeCell ref="A7:A8"/>
    <mergeCell ref="A9:A10"/>
    <mergeCell ref="A23:A24"/>
    <mergeCell ref="A25:A26"/>
    <mergeCell ref="A27:A28"/>
    <mergeCell ref="A29:A30"/>
    <mergeCell ref="A31:A32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35" fitToHeight="0" orientation="landscape" horizontalDpi="1200" r:id="rId1"/>
  <headerFooter>
    <oddHeader>&amp;F</oddHeader>
    <oddFooter>&amp;C&amp;D&amp;RPágina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RAPPEL HERRAMIENTA 2025</vt:lpstr>
      <vt:lpstr>'RAPPEL HERRAMIENTA 2025'!Área_de_impresión</vt:lpstr>
      <vt:lpstr>'RAPPEL HERRAMIENTA 2025'!Títulos_a_imprimir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</dc:creator>
  <cp:lastModifiedBy>Recambios Ibiza</cp:lastModifiedBy>
  <cp:lastPrinted>2024-12-13T14:25:34Z</cp:lastPrinted>
  <dcterms:created xsi:type="dcterms:W3CDTF">2023-01-18T15:08:13Z</dcterms:created>
  <dcterms:modified xsi:type="dcterms:W3CDTF">2026-06-09T10:25:51Z</dcterms:modified>
</cp:coreProperties>
</file>